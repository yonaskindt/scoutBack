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nas\Downloads\"/>
    </mc:Choice>
  </mc:AlternateContent>
  <xr:revisionPtr revIDLastSave="0" documentId="13_ncr:1_{BD4A2EA1-D7C6-4077-B035-AE72A7A9FE49}" xr6:coauthVersionLast="47" xr6:coauthVersionMax="47" xr10:uidLastSave="{00000000-0000-0000-0000-000000000000}"/>
  <bookViews>
    <workbookView xWindow="-108" yWindow="-108" windowWidth="23256" windowHeight="12456" tabRatio="887" activeTab="2" xr2:uid="{8982E9E2-DF38-4447-92CF-56C653030D79}"/>
  </bookViews>
  <sheets>
    <sheet name="Data_Input" sheetId="1" r:id="rId1"/>
    <sheet name="Scouting schema" sheetId="80" r:id="rId2"/>
    <sheet name="Matches" sheetId="81" r:id="rId3"/>
    <sheet name="Alliances" sheetId="82" r:id="rId4"/>
    <sheet name="Practice day input" sheetId="79" r:id="rId5"/>
    <sheet name="Pit_Input" sheetId="9" r:id="rId6"/>
    <sheet name="Pit checklist" sheetId="78" r:id="rId7"/>
    <sheet name="Per_Team" sheetId="5" r:id="rId8"/>
    <sheet name="Match_Planner" sheetId="8" r:id="rId9"/>
    <sheet name="Picklist " sheetId="11" r:id="rId10"/>
    <sheet name="Lijsten" sheetId="4" r:id="rId11"/>
    <sheet name="60" sheetId="12" r:id="rId12"/>
    <sheet name="244" sheetId="13" r:id="rId13"/>
    <sheet name="288" sheetId="14" r:id="rId14"/>
    <sheet name="698" sheetId="15" r:id="rId15"/>
    <sheet name="987" sheetId="16" r:id="rId16"/>
    <sheet name="991" sheetId="17" r:id="rId17"/>
    <sheet name="996" sheetId="18" r:id="rId18"/>
    <sheet name="1165" sheetId="19" r:id="rId19"/>
    <sheet name="1212" sheetId="20" r:id="rId20"/>
    <sheet name="1410" sheetId="21" r:id="rId21"/>
    <sheet name="1828" sheetId="22" r:id="rId22"/>
    <sheet name="2080" sheetId="23" r:id="rId23"/>
    <sheet name="2122" sheetId="24" r:id="rId24"/>
    <sheet name="2403" sheetId="25" r:id="rId25"/>
    <sheet name="2478" sheetId="26" r:id="rId26"/>
    <sheet name="2486" sheetId="27" r:id="rId27"/>
    <sheet name="2662" sheetId="28" r:id="rId28"/>
    <sheet name="2840" sheetId="29" r:id="rId29"/>
    <sheet name="3009" sheetId="30" r:id="rId30"/>
    <sheet name="3019" sheetId="31" r:id="rId31"/>
    <sheet name="3216" sheetId="32" r:id="rId32"/>
    <sheet name="3243" sheetId="33" r:id="rId33"/>
    <sheet name="3245" sheetId="34" r:id="rId34"/>
    <sheet name="3424" sheetId="35" r:id="rId35"/>
    <sheet name="3944" sheetId="36" r:id="rId36"/>
    <sheet name="4146" sheetId="37" r:id="rId37"/>
    <sheet name="4731" sheetId="38" r:id="rId38"/>
    <sheet name="5933" sheetId="39" r:id="rId39"/>
    <sheet name="6352" sheetId="40" r:id="rId40"/>
    <sheet name="6413" sheetId="41" r:id="rId41"/>
    <sheet name="6479" sheetId="42" r:id="rId42"/>
    <sheet name="6833" sheetId="43" r:id="rId43"/>
    <sheet name="6922" sheetId="44" r:id="rId44"/>
    <sheet name="7333" sheetId="45" r:id="rId45"/>
    <sheet name="7425" sheetId="46" r:id="rId46"/>
    <sheet name="7426" sheetId="47" r:id="rId47"/>
    <sheet name="7703" sheetId="48" r:id="rId48"/>
    <sheet name="7755" sheetId="49" r:id="rId49"/>
    <sheet name="8012" sheetId="50" r:id="rId50"/>
    <sheet name="8717" sheetId="51" r:id="rId51"/>
    <sheet name="9059" sheetId="52" r:id="rId52"/>
    <sheet name="9091" sheetId="53" r:id="rId53"/>
    <sheet name="9501" sheetId="54" r:id="rId54"/>
    <sheet name="9534" sheetId="55" r:id="rId55"/>
    <sheet name="9610" sheetId="56" r:id="rId56"/>
    <sheet name="9704" sheetId="57" r:id="rId57"/>
    <sheet name="9777" sheetId="58" r:id="rId58"/>
    <sheet name="10114" sheetId="59" r:id="rId59"/>
    <sheet name="10183" sheetId="60" r:id="rId60"/>
    <sheet name="10256" sheetId="70" r:id="rId61"/>
    <sheet name="10380" sheetId="61" r:id="rId62"/>
    <sheet name="10506" sheetId="62" r:id="rId63"/>
    <sheet name="10905" sheetId="63" r:id="rId64"/>
    <sheet name="10933" sheetId="64" r:id="rId65"/>
    <sheet name="10980" sheetId="65" r:id="rId66"/>
    <sheet name="10988" sheetId="72" r:id="rId67"/>
    <sheet name="11100" sheetId="66" r:id="rId68"/>
    <sheet name="11176" sheetId="67" r:id="rId69"/>
    <sheet name="11212" sheetId="68" r:id="rId70"/>
    <sheet name="11479" sheetId="69" r:id="rId71"/>
  </sheets>
  <externalReferences>
    <externalReference r:id="rId72"/>
    <externalReference r:id="rId73"/>
  </externalReferences>
  <definedNames>
    <definedName name="Foto">Pit_Input!$U$2</definedName>
    <definedName name="TeamFoto">INDEX(Pit_Input!$T:$T,MATCH(Per_Team!$A$2,Pit_Input!$C:$C,0))</definedName>
    <definedName name="TeamFoto2">INDEX('[1]Pit Input'!$N:$N,MATCH('[2]Per Team'!$A$2,'[1]Pit Input'!$C:$C,0))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L2" i="8"/>
  <c r="F3" i="8"/>
  <c r="F2" i="8"/>
  <c r="G2" i="8"/>
  <c r="E3" i="8"/>
  <c r="D3" i="8"/>
  <c r="C3" i="8"/>
  <c r="AU123" i="8" l="1"/>
  <c r="AU116" i="8"/>
  <c r="AU115" i="8"/>
  <c r="AU113" i="8"/>
  <c r="AU53" i="8"/>
  <c r="AU52" i="8"/>
  <c r="AU50" i="8"/>
  <c r="W117" i="8" a="1"/>
  <c r="W54" i="8" a="1"/>
  <c r="F4" i="8" s="1"/>
  <c r="I3" i="8"/>
  <c r="W70" i="8" s="1" a="1"/>
  <c r="B1" i="78"/>
  <c r="W35" i="8" a="1"/>
  <c r="W22" i="8" a="1"/>
  <c r="K3" i="8"/>
  <c r="W98" i="8" s="1" a="1"/>
  <c r="J3" i="8"/>
  <c r="W86" i="8" s="1" a="1"/>
  <c r="J11" i="8" s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3" i="1"/>
  <c r="AB20" i="69"/>
  <c r="AB19" i="69"/>
  <c r="AB18" i="69"/>
  <c r="AB17" i="69"/>
  <c r="AB16" i="69"/>
  <c r="AB15" i="69"/>
  <c r="AB14" i="69"/>
  <c r="AB13" i="69"/>
  <c r="AB12" i="69"/>
  <c r="AB11" i="69"/>
  <c r="AB10" i="69"/>
  <c r="AB9" i="69"/>
  <c r="AB20" i="68"/>
  <c r="AB19" i="68"/>
  <c r="AB18" i="68"/>
  <c r="AB17" i="68"/>
  <c r="AB16" i="68"/>
  <c r="AB15" i="68"/>
  <c r="AB14" i="68"/>
  <c r="AB13" i="68"/>
  <c r="AB12" i="68"/>
  <c r="AB11" i="68"/>
  <c r="AB10" i="68"/>
  <c r="AB9" i="68"/>
  <c r="AB8" i="68"/>
  <c r="AB7" i="68"/>
  <c r="AB6" i="68"/>
  <c r="AB5" i="68"/>
  <c r="AB4" i="68"/>
  <c r="AB3" i="68"/>
  <c r="AB20" i="67"/>
  <c r="AB19" i="67"/>
  <c r="AB18" i="67"/>
  <c r="AB17" i="67"/>
  <c r="AB16" i="67"/>
  <c r="AB15" i="67"/>
  <c r="AB14" i="67"/>
  <c r="AB13" i="67"/>
  <c r="AB12" i="67"/>
  <c r="AB11" i="67"/>
  <c r="AB10" i="67"/>
  <c r="AB9" i="67"/>
  <c r="AB20" i="66"/>
  <c r="AB19" i="66"/>
  <c r="AB18" i="66"/>
  <c r="AB17" i="66"/>
  <c r="AB16" i="66"/>
  <c r="AB15" i="66"/>
  <c r="AB14" i="66"/>
  <c r="AB13" i="66"/>
  <c r="AB12" i="66"/>
  <c r="AB11" i="66"/>
  <c r="AB10" i="66"/>
  <c r="AB9" i="66"/>
  <c r="AB8" i="66"/>
  <c r="AB7" i="66"/>
  <c r="AB20" i="72"/>
  <c r="AB19" i="72"/>
  <c r="AB18" i="72"/>
  <c r="AB17" i="72"/>
  <c r="AB16" i="72"/>
  <c r="AB15" i="72"/>
  <c r="AB14" i="72"/>
  <c r="AB13" i="72"/>
  <c r="AB12" i="72"/>
  <c r="AB11" i="72"/>
  <c r="AB10" i="72"/>
  <c r="AB9" i="72"/>
  <c r="AB8" i="72"/>
  <c r="AB7" i="72"/>
  <c r="AB20" i="65"/>
  <c r="AB19" i="65"/>
  <c r="AB18" i="65"/>
  <c r="AB17" i="65"/>
  <c r="AB16" i="65"/>
  <c r="AB15" i="65"/>
  <c r="AB14" i="65"/>
  <c r="AB13" i="65"/>
  <c r="AB12" i="65"/>
  <c r="AB11" i="65"/>
  <c r="AB10" i="65"/>
  <c r="AB9" i="65"/>
  <c r="AB20" i="64"/>
  <c r="AB19" i="64"/>
  <c r="AB18" i="64"/>
  <c r="AB17" i="64"/>
  <c r="AB16" i="64"/>
  <c r="AB15" i="64"/>
  <c r="AB14" i="64"/>
  <c r="AB13" i="64"/>
  <c r="AB12" i="64"/>
  <c r="AB11" i="64"/>
  <c r="AB10" i="64"/>
  <c r="AB9" i="64"/>
  <c r="AB20" i="63"/>
  <c r="AB19" i="63"/>
  <c r="AB18" i="63"/>
  <c r="AB17" i="63"/>
  <c r="AB16" i="63"/>
  <c r="AB15" i="63"/>
  <c r="AB14" i="63"/>
  <c r="AB13" i="63"/>
  <c r="AB12" i="63"/>
  <c r="AB11" i="63"/>
  <c r="AB10" i="63"/>
  <c r="AB9" i="63"/>
  <c r="AB20" i="62"/>
  <c r="AB19" i="62"/>
  <c r="AB18" i="62"/>
  <c r="AB17" i="62"/>
  <c r="AB16" i="62"/>
  <c r="AB15" i="62"/>
  <c r="AB14" i="62"/>
  <c r="AB13" i="62"/>
  <c r="AB12" i="62"/>
  <c r="AB11" i="62"/>
  <c r="AB10" i="62"/>
  <c r="AB9" i="62"/>
  <c r="AB8" i="62"/>
  <c r="AB20" i="61"/>
  <c r="AB19" i="61"/>
  <c r="AB18" i="61"/>
  <c r="AB17" i="61"/>
  <c r="AB16" i="61"/>
  <c r="AB15" i="61"/>
  <c r="AB14" i="61"/>
  <c r="AB13" i="61"/>
  <c r="AB12" i="61"/>
  <c r="AB11" i="61"/>
  <c r="AB10" i="61"/>
  <c r="AB9" i="61"/>
  <c r="AB20" i="70"/>
  <c r="AB19" i="70"/>
  <c r="AB18" i="70"/>
  <c r="AB17" i="70"/>
  <c r="AB16" i="70"/>
  <c r="AB15" i="70"/>
  <c r="AB14" i="70"/>
  <c r="AB13" i="70"/>
  <c r="AB12" i="70"/>
  <c r="AB11" i="70"/>
  <c r="AB10" i="70"/>
  <c r="AB9" i="70"/>
  <c r="AB8" i="70"/>
  <c r="AB7" i="70"/>
  <c r="AB6" i="70"/>
  <c r="AB5" i="70"/>
  <c r="AB4" i="70"/>
  <c r="AB3" i="70"/>
  <c r="AB20" i="60"/>
  <c r="AB19" i="60"/>
  <c r="AB18" i="60"/>
  <c r="AB17" i="60"/>
  <c r="AB16" i="60"/>
  <c r="AB15" i="60"/>
  <c r="AB14" i="60"/>
  <c r="AB13" i="60"/>
  <c r="AB12" i="60"/>
  <c r="AB11" i="60"/>
  <c r="AB10" i="60"/>
  <c r="AB9" i="60"/>
  <c r="AB20" i="59"/>
  <c r="AB19" i="59"/>
  <c r="AB18" i="59"/>
  <c r="AB17" i="59"/>
  <c r="AB16" i="59"/>
  <c r="AB15" i="59"/>
  <c r="AB14" i="59"/>
  <c r="AB13" i="59"/>
  <c r="AB12" i="59"/>
  <c r="AB20" i="58"/>
  <c r="AB19" i="58"/>
  <c r="AB18" i="58"/>
  <c r="AB17" i="58"/>
  <c r="AB16" i="58"/>
  <c r="AB15" i="58"/>
  <c r="AB14" i="58"/>
  <c r="AB13" i="58"/>
  <c r="AB12" i="58"/>
  <c r="AB11" i="58"/>
  <c r="AB10" i="58"/>
  <c r="AB9" i="58"/>
  <c r="AB20" i="57"/>
  <c r="AB19" i="57"/>
  <c r="AB18" i="57"/>
  <c r="AB17" i="57"/>
  <c r="AB16" i="57"/>
  <c r="AB15" i="57"/>
  <c r="AB14" i="57"/>
  <c r="AB13" i="57"/>
  <c r="AB12" i="57"/>
  <c r="AB11" i="57"/>
  <c r="AB10" i="57"/>
  <c r="AB20" i="56"/>
  <c r="AB19" i="56"/>
  <c r="AB18" i="56"/>
  <c r="AB17" i="56"/>
  <c r="AB16" i="56"/>
  <c r="AB15" i="56"/>
  <c r="AB14" i="56"/>
  <c r="AB13" i="56"/>
  <c r="AB12" i="56"/>
  <c r="AB11" i="56"/>
  <c r="AB10" i="56"/>
  <c r="AB9" i="56"/>
  <c r="AB8" i="56"/>
  <c r="AB7" i="56"/>
  <c r="AB6" i="56"/>
  <c r="AB5" i="56"/>
  <c r="AB4" i="56"/>
  <c r="AB3" i="56"/>
  <c r="AB20" i="55"/>
  <c r="AB19" i="55"/>
  <c r="AB18" i="55"/>
  <c r="AB17" i="55"/>
  <c r="AB16" i="55"/>
  <c r="AB15" i="55"/>
  <c r="AB14" i="55"/>
  <c r="AB13" i="55"/>
  <c r="AB12" i="55"/>
  <c r="AB11" i="55"/>
  <c r="AB10" i="55"/>
  <c r="AB20" i="54"/>
  <c r="AB19" i="54"/>
  <c r="AB18" i="54"/>
  <c r="AB17" i="54"/>
  <c r="AB16" i="54"/>
  <c r="AB15" i="54"/>
  <c r="AB14" i="54"/>
  <c r="AB13" i="54"/>
  <c r="AB12" i="54"/>
  <c r="AB11" i="54"/>
  <c r="AB10" i="54"/>
  <c r="AB20" i="53"/>
  <c r="AB19" i="53"/>
  <c r="AB18" i="53"/>
  <c r="AB17" i="53"/>
  <c r="AB16" i="53"/>
  <c r="AB15" i="53"/>
  <c r="AB14" i="53"/>
  <c r="AB13" i="53"/>
  <c r="AB12" i="53"/>
  <c r="AB11" i="53"/>
  <c r="AB10" i="53"/>
  <c r="AB20" i="52"/>
  <c r="AB19" i="52"/>
  <c r="AB18" i="52"/>
  <c r="AB17" i="52"/>
  <c r="AB16" i="52"/>
  <c r="AB15" i="52"/>
  <c r="AB14" i="52"/>
  <c r="AB13" i="52"/>
  <c r="AB12" i="52"/>
  <c r="AB11" i="52"/>
  <c r="AB10" i="52"/>
  <c r="AB9" i="52"/>
  <c r="AB8" i="52"/>
  <c r="AB20" i="51"/>
  <c r="AB19" i="51"/>
  <c r="AB18" i="51"/>
  <c r="AB17" i="51"/>
  <c r="AB16" i="51"/>
  <c r="AB15" i="51"/>
  <c r="AB14" i="51"/>
  <c r="AB13" i="51"/>
  <c r="AB12" i="51"/>
  <c r="AB11" i="51"/>
  <c r="AB10" i="51"/>
  <c r="AB20" i="50"/>
  <c r="AB19" i="50"/>
  <c r="AB18" i="50"/>
  <c r="AB17" i="50"/>
  <c r="AB16" i="50"/>
  <c r="AB15" i="50"/>
  <c r="AB14" i="50"/>
  <c r="AB13" i="50"/>
  <c r="AB12" i="50"/>
  <c r="AB11" i="50"/>
  <c r="AB10" i="50"/>
  <c r="AB9" i="50"/>
  <c r="Y9" i="49"/>
  <c r="AB9" i="49"/>
  <c r="Y10" i="49"/>
  <c r="AB10" i="49"/>
  <c r="Y11" i="49"/>
  <c r="AB11" i="49"/>
  <c r="Y12" i="49"/>
  <c r="AB12" i="49"/>
  <c r="Y13" i="49"/>
  <c r="AB13" i="49"/>
  <c r="Y14" i="49"/>
  <c r="AB14" i="49"/>
  <c r="Y15" i="49"/>
  <c r="AB15" i="49"/>
  <c r="Y16" i="49"/>
  <c r="AB16" i="49"/>
  <c r="Y17" i="49"/>
  <c r="AB17" i="49"/>
  <c r="Y18" i="49"/>
  <c r="AB18" i="49"/>
  <c r="Y19" i="49"/>
  <c r="AB19" i="49"/>
  <c r="Y20" i="49"/>
  <c r="AB20" i="49"/>
  <c r="Y21" i="49"/>
  <c r="Y22" i="49"/>
  <c r="Y4" i="48"/>
  <c r="AB4" i="48"/>
  <c r="Y5" i="48"/>
  <c r="AB5" i="48"/>
  <c r="Y6" i="48"/>
  <c r="AB6" i="48"/>
  <c r="Y7" i="48"/>
  <c r="AB7" i="48"/>
  <c r="Y8" i="48"/>
  <c r="AB8" i="48"/>
  <c r="Y9" i="48"/>
  <c r="AB9" i="48"/>
  <c r="Y10" i="48"/>
  <c r="AB10" i="48"/>
  <c r="Y11" i="48"/>
  <c r="AB11" i="48"/>
  <c r="Y12" i="48"/>
  <c r="AB12" i="48"/>
  <c r="Y13" i="48"/>
  <c r="AB13" i="48"/>
  <c r="Y14" i="48"/>
  <c r="AB14" i="48"/>
  <c r="Y15" i="48"/>
  <c r="AB15" i="48"/>
  <c r="Y16" i="48"/>
  <c r="AB16" i="48"/>
  <c r="Y17" i="48"/>
  <c r="AB17" i="48"/>
  <c r="Y18" i="48"/>
  <c r="AB18" i="48"/>
  <c r="Y19" i="48"/>
  <c r="AB19" i="48"/>
  <c r="Y20" i="48"/>
  <c r="AB20" i="48"/>
  <c r="Y21" i="48"/>
  <c r="AB21" i="48"/>
  <c r="Y22" i="48"/>
  <c r="AB22" i="48"/>
  <c r="Y23" i="48"/>
  <c r="AB23" i="48"/>
  <c r="Y24" i="48"/>
  <c r="AB24" i="48"/>
  <c r="AB3" i="48"/>
  <c r="Y3" i="48"/>
  <c r="Y8" i="47"/>
  <c r="Y9" i="47"/>
  <c r="Y10" i="47"/>
  <c r="Y11" i="47"/>
  <c r="Y12" i="47"/>
  <c r="Y13" i="47"/>
  <c r="Y14" i="47"/>
  <c r="Y15" i="47"/>
  <c r="Y16" i="47"/>
  <c r="Y17" i="47"/>
  <c r="Y18" i="47"/>
  <c r="Y19" i="47"/>
  <c r="Y20" i="47"/>
  <c r="Y21" i="47"/>
  <c r="Y22" i="47"/>
  <c r="Y23" i="47"/>
  <c r="Y24" i="47"/>
  <c r="Y25" i="47"/>
  <c r="Y26" i="47"/>
  <c r="Y27" i="47"/>
  <c r="Y28" i="47"/>
  <c r="Y29" i="47"/>
  <c r="Y30" i="47"/>
  <c r="Y31" i="47"/>
  <c r="Y32" i="47"/>
  <c r="Y33" i="47"/>
  <c r="Y34" i="47"/>
  <c r="AB20" i="47"/>
  <c r="AB19" i="47"/>
  <c r="AB18" i="47"/>
  <c r="AB17" i="47"/>
  <c r="AB16" i="47"/>
  <c r="AB15" i="47"/>
  <c r="AB14" i="47"/>
  <c r="AB13" i="47"/>
  <c r="AB12" i="47"/>
  <c r="AB11" i="47"/>
  <c r="AB10" i="47"/>
  <c r="AB9" i="47"/>
  <c r="AB8" i="47"/>
  <c r="AB20" i="46"/>
  <c r="AB19" i="46"/>
  <c r="AB18" i="46"/>
  <c r="AB17" i="46"/>
  <c r="AB16" i="46"/>
  <c r="AB15" i="46"/>
  <c r="AB14" i="46"/>
  <c r="AB13" i="46"/>
  <c r="AB12" i="46"/>
  <c r="AB11" i="46"/>
  <c r="AB10" i="46"/>
  <c r="AB20" i="45"/>
  <c r="AB19" i="45"/>
  <c r="AB18" i="45"/>
  <c r="AB17" i="45"/>
  <c r="AB16" i="45"/>
  <c r="AB15" i="45"/>
  <c r="AB14" i="45"/>
  <c r="AB13" i="45"/>
  <c r="AB20" i="44"/>
  <c r="AB19" i="44"/>
  <c r="AB18" i="44"/>
  <c r="AB17" i="44"/>
  <c r="AB16" i="44"/>
  <c r="AB15" i="44"/>
  <c r="AB14" i="44"/>
  <c r="AB13" i="44"/>
  <c r="AB12" i="44"/>
  <c r="AB11" i="44"/>
  <c r="AB10" i="44"/>
  <c r="AB9" i="44"/>
  <c r="AB8" i="44"/>
  <c r="AB7" i="44"/>
  <c r="AB6" i="44"/>
  <c r="AB5" i="44"/>
  <c r="AB4" i="44"/>
  <c r="AB3" i="44"/>
  <c r="AB20" i="43"/>
  <c r="AB19" i="43"/>
  <c r="AB18" i="43"/>
  <c r="AB17" i="43"/>
  <c r="AB16" i="43"/>
  <c r="AB15" i="43"/>
  <c r="AB14" i="43"/>
  <c r="AB13" i="43"/>
  <c r="AB12" i="43"/>
  <c r="AB11" i="43"/>
  <c r="AB10" i="43"/>
  <c r="AB20" i="42"/>
  <c r="AB19" i="42"/>
  <c r="AB18" i="42"/>
  <c r="AB17" i="42"/>
  <c r="AB16" i="42"/>
  <c r="AB15" i="42"/>
  <c r="AB14" i="42"/>
  <c r="AB13" i="42"/>
  <c r="AB12" i="42"/>
  <c r="AB11" i="42"/>
  <c r="AB10" i="42"/>
  <c r="AB20" i="41"/>
  <c r="AB19" i="41"/>
  <c r="AB18" i="41"/>
  <c r="AB17" i="41"/>
  <c r="AB16" i="41"/>
  <c r="AB15" i="41"/>
  <c r="AB14" i="41"/>
  <c r="AB13" i="41"/>
  <c r="AB12" i="41"/>
  <c r="AB11" i="41"/>
  <c r="AB10" i="41"/>
  <c r="AB20" i="40"/>
  <c r="AB19" i="40"/>
  <c r="AB18" i="40"/>
  <c r="AB17" i="40"/>
  <c r="AB16" i="40"/>
  <c r="AB15" i="40"/>
  <c r="AB14" i="40"/>
  <c r="AB13" i="40"/>
  <c r="AB12" i="40"/>
  <c r="AB11" i="40"/>
  <c r="AB10" i="40"/>
  <c r="AB9" i="40"/>
  <c r="AB8" i="40"/>
  <c r="AB20" i="39"/>
  <c r="AB19" i="39"/>
  <c r="AB18" i="39"/>
  <c r="AB17" i="39"/>
  <c r="AB16" i="39"/>
  <c r="AB15" i="39"/>
  <c r="AB14" i="39"/>
  <c r="AB13" i="39"/>
  <c r="AB12" i="39"/>
  <c r="AB11" i="39"/>
  <c r="AB10" i="39"/>
  <c r="AB9" i="39"/>
  <c r="AB20" i="38"/>
  <c r="AB19" i="38"/>
  <c r="AB18" i="38"/>
  <c r="AB17" i="38"/>
  <c r="AB16" i="38"/>
  <c r="AB15" i="38"/>
  <c r="AB14" i="38"/>
  <c r="AB13" i="38"/>
  <c r="AB12" i="38"/>
  <c r="AB11" i="38"/>
  <c r="AB10" i="38"/>
  <c r="AB9" i="38"/>
  <c r="AB20" i="37"/>
  <c r="AB19" i="37"/>
  <c r="AB18" i="37"/>
  <c r="AB17" i="37"/>
  <c r="AB16" i="37"/>
  <c r="AB15" i="37"/>
  <c r="AB14" i="37"/>
  <c r="AB13" i="37"/>
  <c r="AB12" i="37"/>
  <c r="AB11" i="37"/>
  <c r="AB10" i="37"/>
  <c r="AB20" i="36"/>
  <c r="AB19" i="36"/>
  <c r="AB18" i="36"/>
  <c r="AB17" i="36"/>
  <c r="AB16" i="36"/>
  <c r="AB15" i="36"/>
  <c r="AB14" i="36"/>
  <c r="AB13" i="36"/>
  <c r="AB12" i="36"/>
  <c r="AB11" i="36"/>
  <c r="AB10" i="36"/>
  <c r="AB9" i="36"/>
  <c r="AB8" i="36"/>
  <c r="AB7" i="36"/>
  <c r="AB20" i="35"/>
  <c r="AB19" i="35"/>
  <c r="AB18" i="35"/>
  <c r="AB17" i="35"/>
  <c r="AB16" i="35"/>
  <c r="AB15" i="35"/>
  <c r="AB14" i="35"/>
  <c r="AB13" i="35"/>
  <c r="AB12" i="35"/>
  <c r="AB11" i="35"/>
  <c r="AB10" i="35"/>
  <c r="AB9" i="35"/>
  <c r="AB20" i="34"/>
  <c r="AB19" i="34"/>
  <c r="AB18" i="34"/>
  <c r="AB17" i="34"/>
  <c r="AB16" i="34"/>
  <c r="AB15" i="34"/>
  <c r="AB14" i="34"/>
  <c r="AB13" i="34"/>
  <c r="AB12" i="34"/>
  <c r="AB11" i="34"/>
  <c r="AB10" i="34"/>
  <c r="AB9" i="34"/>
  <c r="AB20" i="33"/>
  <c r="AB19" i="33"/>
  <c r="AB18" i="33"/>
  <c r="AB17" i="33"/>
  <c r="AB16" i="33"/>
  <c r="AB15" i="33"/>
  <c r="AB14" i="33"/>
  <c r="AB13" i="33"/>
  <c r="AB12" i="33"/>
  <c r="AB11" i="33"/>
  <c r="AB10" i="33"/>
  <c r="AB9" i="33"/>
  <c r="AB8" i="33"/>
  <c r="AB20" i="32"/>
  <c r="AB19" i="32"/>
  <c r="AB18" i="32"/>
  <c r="AB17" i="32"/>
  <c r="AB16" i="32"/>
  <c r="AB15" i="32"/>
  <c r="AB14" i="32"/>
  <c r="AB13" i="32"/>
  <c r="AB12" i="32"/>
  <c r="AB11" i="32"/>
  <c r="AB10" i="32"/>
  <c r="AB20" i="31"/>
  <c r="AB19" i="31"/>
  <c r="AB18" i="31"/>
  <c r="AB17" i="31"/>
  <c r="AB16" i="31"/>
  <c r="AB15" i="31"/>
  <c r="AB14" i="31"/>
  <c r="AB13" i="31"/>
  <c r="AB12" i="31"/>
  <c r="AB11" i="31"/>
  <c r="AB10" i="31"/>
  <c r="AB9" i="31"/>
  <c r="AB20" i="30"/>
  <c r="AB19" i="30"/>
  <c r="AB18" i="30"/>
  <c r="AB17" i="30"/>
  <c r="AB16" i="30"/>
  <c r="AB15" i="30"/>
  <c r="AB14" i="30"/>
  <c r="AB13" i="30"/>
  <c r="AB12" i="30"/>
  <c r="AB11" i="30"/>
  <c r="AB20" i="29"/>
  <c r="AB19" i="29"/>
  <c r="AB18" i="29"/>
  <c r="AB17" i="29"/>
  <c r="AB16" i="29"/>
  <c r="AB15" i="29"/>
  <c r="AB14" i="29"/>
  <c r="AB13" i="29"/>
  <c r="AB12" i="29"/>
  <c r="AB11" i="29"/>
  <c r="AB10" i="29"/>
  <c r="AB20" i="28"/>
  <c r="AB19" i="28"/>
  <c r="AB18" i="28"/>
  <c r="AB17" i="28"/>
  <c r="AB16" i="28"/>
  <c r="AB15" i="28"/>
  <c r="AB14" i="28"/>
  <c r="AB13" i="28"/>
  <c r="AB12" i="28"/>
  <c r="AB11" i="28"/>
  <c r="AB10" i="28"/>
  <c r="AB9" i="28"/>
  <c r="AB20" i="27"/>
  <c r="AB19" i="27"/>
  <c r="AB18" i="27"/>
  <c r="AB17" i="27"/>
  <c r="AB16" i="27"/>
  <c r="AB15" i="27"/>
  <c r="AB14" i="27"/>
  <c r="AB13" i="27"/>
  <c r="AB12" i="27"/>
  <c r="AB11" i="27"/>
  <c r="AB10" i="27"/>
  <c r="AB9" i="27"/>
  <c r="AB8" i="27"/>
  <c r="AB7" i="27"/>
  <c r="AB20" i="26"/>
  <c r="AB19" i="26"/>
  <c r="AB18" i="26"/>
  <c r="AB17" i="26"/>
  <c r="AB16" i="26"/>
  <c r="AB15" i="26"/>
  <c r="AB14" i="26"/>
  <c r="AB13" i="26"/>
  <c r="AB12" i="26"/>
  <c r="AB11" i="26"/>
  <c r="AB10" i="26"/>
  <c r="AB9" i="26"/>
  <c r="AB8" i="26"/>
  <c r="AB20" i="25"/>
  <c r="AB19" i="25"/>
  <c r="AB18" i="25"/>
  <c r="AB17" i="25"/>
  <c r="AB16" i="25"/>
  <c r="AB15" i="25"/>
  <c r="AB14" i="25"/>
  <c r="AB13" i="25"/>
  <c r="AB12" i="25"/>
  <c r="AB11" i="25"/>
  <c r="AB10" i="25"/>
  <c r="AB9" i="25"/>
  <c r="AB20" i="24"/>
  <c r="AB19" i="24"/>
  <c r="AB18" i="24"/>
  <c r="AB17" i="24"/>
  <c r="AB16" i="24"/>
  <c r="AB15" i="24"/>
  <c r="AB14" i="24"/>
  <c r="AB13" i="24"/>
  <c r="AB12" i="24"/>
  <c r="AB11" i="24"/>
  <c r="AB10" i="24"/>
  <c r="AB9" i="24"/>
  <c r="AB20" i="23"/>
  <c r="AB19" i="23"/>
  <c r="AB18" i="23"/>
  <c r="AB17" i="23"/>
  <c r="AB16" i="23"/>
  <c r="AB15" i="23"/>
  <c r="AB14" i="23"/>
  <c r="AB13" i="23"/>
  <c r="AB12" i="23"/>
  <c r="AB11" i="23"/>
  <c r="AB10" i="23"/>
  <c r="AB20" i="22"/>
  <c r="AB19" i="22"/>
  <c r="AB18" i="22"/>
  <c r="AB17" i="22"/>
  <c r="AB16" i="22"/>
  <c r="AB15" i="22"/>
  <c r="AB14" i="22"/>
  <c r="AB13" i="22"/>
  <c r="AB12" i="22"/>
  <c r="AB11" i="22"/>
  <c r="AB10" i="22"/>
  <c r="AB9" i="22"/>
  <c r="AB20" i="21"/>
  <c r="AB19" i="21"/>
  <c r="AB18" i="21"/>
  <c r="AB17" i="21"/>
  <c r="AB16" i="21"/>
  <c r="AB15" i="21"/>
  <c r="AB14" i="21"/>
  <c r="AB13" i="21"/>
  <c r="AB12" i="21"/>
  <c r="AB11" i="21"/>
  <c r="AB10" i="21"/>
  <c r="AB20" i="20"/>
  <c r="AB19" i="20"/>
  <c r="AB18" i="20"/>
  <c r="AB17" i="20"/>
  <c r="AB16" i="20"/>
  <c r="AB15" i="20"/>
  <c r="AB14" i="20"/>
  <c r="AB13" i="20"/>
  <c r="AB12" i="20"/>
  <c r="AB11" i="20"/>
  <c r="AB10" i="20"/>
  <c r="AB9" i="20"/>
  <c r="AB8" i="20"/>
  <c r="AB20" i="19"/>
  <c r="AB19" i="19"/>
  <c r="AB18" i="19"/>
  <c r="AB17" i="19"/>
  <c r="AB16" i="19"/>
  <c r="AB15" i="19"/>
  <c r="AB14" i="19"/>
  <c r="AB13" i="19"/>
  <c r="AB12" i="19"/>
  <c r="AB11" i="19"/>
  <c r="AB10" i="19"/>
  <c r="AB9" i="19"/>
  <c r="AB8" i="19"/>
  <c r="AB20" i="18"/>
  <c r="AB19" i="18"/>
  <c r="AB18" i="18"/>
  <c r="AB17" i="18"/>
  <c r="AB16" i="18"/>
  <c r="AB15" i="18"/>
  <c r="AB14" i="18"/>
  <c r="AB13" i="18"/>
  <c r="AB12" i="18"/>
  <c r="AB11" i="18"/>
  <c r="AB10" i="18"/>
  <c r="AB9" i="18"/>
  <c r="AB20" i="17"/>
  <c r="AB19" i="17"/>
  <c r="AB18" i="17"/>
  <c r="AB17" i="17"/>
  <c r="AB16" i="17"/>
  <c r="AB15" i="17"/>
  <c r="AB14" i="17"/>
  <c r="AB13" i="17"/>
  <c r="AB12" i="17"/>
  <c r="AB11" i="17"/>
  <c r="AB20" i="16"/>
  <c r="AB19" i="16"/>
  <c r="AB18" i="16"/>
  <c r="AB17" i="16"/>
  <c r="AB16" i="16"/>
  <c r="AB15" i="16"/>
  <c r="AB14" i="16"/>
  <c r="AB13" i="16"/>
  <c r="AB12" i="16"/>
  <c r="AB11" i="16"/>
  <c r="AB10" i="16"/>
  <c r="AB20" i="15"/>
  <c r="AB19" i="15"/>
  <c r="AB18" i="15"/>
  <c r="AB17" i="15"/>
  <c r="AB16" i="15"/>
  <c r="AB15" i="15"/>
  <c r="AB14" i="15"/>
  <c r="AB13" i="15"/>
  <c r="AB12" i="15"/>
  <c r="AB11" i="15"/>
  <c r="AB10" i="15"/>
  <c r="AB9" i="15"/>
  <c r="AB8" i="15"/>
  <c r="AB20" i="14"/>
  <c r="AB19" i="14"/>
  <c r="AB18" i="14"/>
  <c r="AB17" i="14"/>
  <c r="AB16" i="14"/>
  <c r="AB15" i="14"/>
  <c r="AB14" i="14"/>
  <c r="AB13" i="14"/>
  <c r="AB12" i="14"/>
  <c r="AB11" i="14"/>
  <c r="AB10" i="14"/>
  <c r="AB20" i="13"/>
  <c r="AB19" i="13"/>
  <c r="AB18" i="13"/>
  <c r="AB17" i="13"/>
  <c r="AB16" i="13"/>
  <c r="AB15" i="13"/>
  <c r="AB14" i="13"/>
  <c r="AB13" i="13"/>
  <c r="AB12" i="13"/>
  <c r="AB15" i="12"/>
  <c r="AB16" i="12"/>
  <c r="AB17" i="12"/>
  <c r="AB18" i="12"/>
  <c r="AB19" i="12"/>
  <c r="AB20" i="12"/>
  <c r="AB9" i="12"/>
  <c r="AB10" i="12"/>
  <c r="AB11" i="12"/>
  <c r="AB12" i="12"/>
  <c r="AB13" i="12"/>
  <c r="AB14" i="12"/>
  <c r="AJ5" i="80"/>
  <c r="AJ6" i="80"/>
  <c r="AJ7" i="80"/>
  <c r="AJ8" i="80"/>
  <c r="AJ9" i="80"/>
  <c r="AJ10" i="80"/>
  <c r="AJ11" i="80"/>
  <c r="AJ12" i="80"/>
  <c r="AJ13" i="80"/>
  <c r="AJ14" i="80"/>
  <c r="AJ15" i="80"/>
  <c r="AJ16" i="80"/>
  <c r="AJ17" i="80"/>
  <c r="AJ18" i="80"/>
  <c r="AJ19" i="80"/>
  <c r="AJ20" i="80"/>
  <c r="AJ21" i="80"/>
  <c r="AJ22" i="80"/>
  <c r="AJ23" i="80"/>
  <c r="AJ24" i="80"/>
  <c r="AJ25" i="80"/>
  <c r="AJ26" i="80"/>
  <c r="AJ27" i="80"/>
  <c r="AJ28" i="80"/>
  <c r="AJ29" i="80"/>
  <c r="AJ30" i="80"/>
  <c r="AJ31" i="80"/>
  <c r="AJ32" i="80"/>
  <c r="AJ33" i="80"/>
  <c r="AJ34" i="80"/>
  <c r="AJ35" i="80"/>
  <c r="AJ36" i="80"/>
  <c r="AJ37" i="80"/>
  <c r="AJ38" i="80"/>
  <c r="AJ39" i="80"/>
  <c r="AJ40" i="80"/>
  <c r="AJ41" i="80"/>
  <c r="AJ42" i="80"/>
  <c r="AJ43" i="80"/>
  <c r="AJ44" i="80"/>
  <c r="AJ45" i="80"/>
  <c r="AJ46" i="80"/>
  <c r="AJ47" i="80"/>
  <c r="AJ48" i="80"/>
  <c r="AJ49" i="80"/>
  <c r="AJ50" i="80"/>
  <c r="AJ51" i="80"/>
  <c r="AJ52" i="80"/>
  <c r="AJ53" i="80"/>
  <c r="AJ54" i="80"/>
  <c r="AJ55" i="80"/>
  <c r="AJ56" i="80"/>
  <c r="AJ57" i="80"/>
  <c r="AJ58" i="80"/>
  <c r="AJ4" i="80"/>
  <c r="AI5" i="80"/>
  <c r="AI6" i="80"/>
  <c r="AI7" i="80"/>
  <c r="AI8" i="80"/>
  <c r="AI9" i="80"/>
  <c r="AI10" i="80"/>
  <c r="AI11" i="80"/>
  <c r="AI12" i="80"/>
  <c r="AI13" i="80"/>
  <c r="AI14" i="80"/>
  <c r="AI15" i="80"/>
  <c r="AI16" i="80"/>
  <c r="AI17" i="80"/>
  <c r="AI18" i="80"/>
  <c r="AI19" i="80"/>
  <c r="AI20" i="80"/>
  <c r="AI21" i="80"/>
  <c r="AI22" i="80"/>
  <c r="AI23" i="80"/>
  <c r="AI24" i="80"/>
  <c r="AI25" i="80"/>
  <c r="AI26" i="80"/>
  <c r="AI27" i="80"/>
  <c r="AI28" i="80"/>
  <c r="AI29" i="80"/>
  <c r="AI30" i="80"/>
  <c r="AI31" i="80"/>
  <c r="AI32" i="80"/>
  <c r="AI33" i="80"/>
  <c r="AI34" i="80"/>
  <c r="AI35" i="80"/>
  <c r="AI36" i="80"/>
  <c r="AI37" i="80"/>
  <c r="AI38" i="80"/>
  <c r="AI39" i="80"/>
  <c r="AI40" i="80"/>
  <c r="AI41" i="80"/>
  <c r="AI42" i="80"/>
  <c r="AI43" i="80"/>
  <c r="AI44" i="80"/>
  <c r="AI45" i="80"/>
  <c r="AI46" i="80"/>
  <c r="AI47" i="80"/>
  <c r="AI48" i="80"/>
  <c r="AI49" i="80"/>
  <c r="AI50" i="80"/>
  <c r="AI51" i="80"/>
  <c r="AI52" i="80"/>
  <c r="AI53" i="80"/>
  <c r="AI54" i="80"/>
  <c r="AI55" i="80"/>
  <c r="AI56" i="80"/>
  <c r="AI57" i="80"/>
  <c r="AI58" i="80"/>
  <c r="AI4" i="80"/>
  <c r="B2" i="78"/>
  <c r="B3" i="78"/>
  <c r="B4" i="78"/>
  <c r="B5" i="78"/>
  <c r="B6" i="78"/>
  <c r="B7" i="78"/>
  <c r="B8" i="78"/>
  <c r="B9" i="78"/>
  <c r="B10" i="78"/>
  <c r="B11" i="78"/>
  <c r="B12" i="78"/>
  <c r="B13" i="78"/>
  <c r="B14" i="78"/>
  <c r="B15" i="78"/>
  <c r="B16" i="78"/>
  <c r="B17" i="78"/>
  <c r="B18" i="78"/>
  <c r="B19" i="78"/>
  <c r="B20" i="78"/>
  <c r="B21" i="78"/>
  <c r="B22" i="78"/>
  <c r="B23" i="78"/>
  <c r="B24" i="78"/>
  <c r="B25" i="78"/>
  <c r="B26" i="78"/>
  <c r="B27" i="78"/>
  <c r="B28" i="78"/>
  <c r="B29" i="78"/>
  <c r="D25" i="78"/>
  <c r="D26" i="78"/>
  <c r="D27" i="78"/>
  <c r="D28" i="78"/>
  <c r="D1" i="78"/>
  <c r="D2" i="78"/>
  <c r="D3" i="78"/>
  <c r="D5" i="78"/>
  <c r="D6" i="78"/>
  <c r="D7" i="78"/>
  <c r="D8" i="78"/>
  <c r="D9" i="78"/>
  <c r="D10" i="78"/>
  <c r="D11" i="78"/>
  <c r="D12" i="78"/>
  <c r="D13" i="78"/>
  <c r="D14" i="78"/>
  <c r="D15" i="78"/>
  <c r="D16" i="78"/>
  <c r="D17" i="78"/>
  <c r="D18" i="78"/>
  <c r="D19" i="78"/>
  <c r="D20" i="78"/>
  <c r="D21" i="78"/>
  <c r="D22" i="78"/>
  <c r="D23" i="78"/>
  <c r="D24" i="78"/>
  <c r="D4" i="78"/>
  <c r="AU18" i="8"/>
  <c r="AU21" i="8"/>
  <c r="AU32" i="8"/>
  <c r="AU33" i="8"/>
  <c r="AU34" i="8"/>
  <c r="AU36" i="8"/>
  <c r="AU37" i="8"/>
  <c r="AU47" i="8"/>
  <c r="AU48" i="8"/>
  <c r="AU66" i="8"/>
  <c r="AU68" i="8"/>
  <c r="AU69" i="8"/>
  <c r="AU78" i="8"/>
  <c r="AU79" i="8"/>
  <c r="AU80" i="8"/>
  <c r="AU81" i="8"/>
  <c r="AU82" i="8"/>
  <c r="AU85" i="8"/>
  <c r="AU94" i="8"/>
  <c r="AU95" i="8"/>
  <c r="AU96" i="8"/>
  <c r="AU97" i="8"/>
  <c r="AU99" i="8"/>
  <c r="AU100" i="8"/>
  <c r="AU16" i="8"/>
  <c r="AU17" i="8"/>
  <c r="Y20" i="69"/>
  <c r="Y19" i="69"/>
  <c r="Y18" i="69"/>
  <c r="Y17" i="69"/>
  <c r="Y16" i="69"/>
  <c r="Y15" i="69"/>
  <c r="Y14" i="69"/>
  <c r="Y13" i="69"/>
  <c r="Y12" i="69"/>
  <c r="Y11" i="69"/>
  <c r="Y10" i="69"/>
  <c r="Y9" i="69"/>
  <c r="Y20" i="68"/>
  <c r="Y19" i="68"/>
  <c r="Y18" i="68"/>
  <c r="Y17" i="68"/>
  <c r="Y16" i="68"/>
  <c r="Y15" i="68"/>
  <c r="Y14" i="68"/>
  <c r="Y13" i="68"/>
  <c r="Y12" i="68"/>
  <c r="Y11" i="68"/>
  <c r="Y10" i="68"/>
  <c r="Y9" i="68"/>
  <c r="Y8" i="68"/>
  <c r="Y7" i="68"/>
  <c r="Y6" i="68"/>
  <c r="Y5" i="68"/>
  <c r="Y4" i="68"/>
  <c r="Y3" i="68"/>
  <c r="Y20" i="67"/>
  <c r="Y19" i="67"/>
  <c r="Y18" i="67"/>
  <c r="Y17" i="67"/>
  <c r="Y16" i="67"/>
  <c r="Y15" i="67"/>
  <c r="Y14" i="67"/>
  <c r="Y13" i="67"/>
  <c r="Y12" i="67"/>
  <c r="Y11" i="67"/>
  <c r="Y10" i="67"/>
  <c r="Y9" i="67"/>
  <c r="Y20" i="66"/>
  <c r="Y19" i="66"/>
  <c r="Y18" i="66"/>
  <c r="Y17" i="66"/>
  <c r="Y16" i="66"/>
  <c r="Y15" i="66"/>
  <c r="Y14" i="66"/>
  <c r="Y13" i="66"/>
  <c r="Y12" i="66"/>
  <c r="Y11" i="66"/>
  <c r="Y10" i="66"/>
  <c r="Y9" i="66"/>
  <c r="Y8" i="66"/>
  <c r="Y7" i="66"/>
  <c r="Y20" i="72"/>
  <c r="Y19" i="72"/>
  <c r="Y18" i="72"/>
  <c r="Y17" i="72"/>
  <c r="Y16" i="72"/>
  <c r="Y15" i="72"/>
  <c r="Y14" i="72"/>
  <c r="Y13" i="72"/>
  <c r="Y12" i="72"/>
  <c r="Y11" i="72"/>
  <c r="Y10" i="72"/>
  <c r="Y9" i="72"/>
  <c r="Y8" i="72"/>
  <c r="Y7" i="72"/>
  <c r="Y20" i="65"/>
  <c r="Y19" i="65"/>
  <c r="Y18" i="65"/>
  <c r="Y17" i="65"/>
  <c r="Y16" i="65"/>
  <c r="Y15" i="65"/>
  <c r="Y14" i="65"/>
  <c r="Y13" i="65"/>
  <c r="Y12" i="65"/>
  <c r="Y11" i="65"/>
  <c r="Y10" i="65"/>
  <c r="Y9" i="65"/>
  <c r="Y20" i="64"/>
  <c r="Y19" i="64"/>
  <c r="Y18" i="64"/>
  <c r="Y17" i="64"/>
  <c r="Y16" i="64"/>
  <c r="Y15" i="64"/>
  <c r="Y14" i="64"/>
  <c r="Y13" i="64"/>
  <c r="Y12" i="64"/>
  <c r="Y11" i="64"/>
  <c r="Y10" i="64"/>
  <c r="Y9" i="64"/>
  <c r="Y20" i="63"/>
  <c r="Y19" i="63"/>
  <c r="Y18" i="63"/>
  <c r="Y17" i="63"/>
  <c r="Y16" i="63"/>
  <c r="Y15" i="63"/>
  <c r="Y14" i="63"/>
  <c r="Y13" i="63"/>
  <c r="Y12" i="63"/>
  <c r="Y11" i="63"/>
  <c r="Y10" i="63"/>
  <c r="Y9" i="63"/>
  <c r="Y20" i="62"/>
  <c r="Y19" i="62"/>
  <c r="Y18" i="62"/>
  <c r="Y17" i="62"/>
  <c r="Y16" i="62"/>
  <c r="Y15" i="62"/>
  <c r="Y14" i="62"/>
  <c r="Y13" i="62"/>
  <c r="Y12" i="62"/>
  <c r="Y11" i="62"/>
  <c r="Y10" i="62"/>
  <c r="Y9" i="62"/>
  <c r="Y8" i="62"/>
  <c r="Y20" i="61"/>
  <c r="Y19" i="61"/>
  <c r="Y18" i="61"/>
  <c r="Y17" i="61"/>
  <c r="Y16" i="61"/>
  <c r="Y15" i="61"/>
  <c r="Y14" i="61"/>
  <c r="Y13" i="61"/>
  <c r="Y12" i="61"/>
  <c r="Y11" i="61"/>
  <c r="Y10" i="61"/>
  <c r="Y9" i="61"/>
  <c r="Y20" i="70"/>
  <c r="Y19" i="70"/>
  <c r="Y18" i="70"/>
  <c r="Y17" i="70"/>
  <c r="Y16" i="70"/>
  <c r="Y15" i="70"/>
  <c r="Y14" i="70"/>
  <c r="Y13" i="70"/>
  <c r="Y12" i="70"/>
  <c r="Y11" i="70"/>
  <c r="Y10" i="70"/>
  <c r="Y9" i="70"/>
  <c r="Y8" i="70"/>
  <c r="Y7" i="70"/>
  <c r="Y6" i="70"/>
  <c r="Y5" i="70"/>
  <c r="Y4" i="70"/>
  <c r="Y3" i="70"/>
  <c r="Y20" i="60"/>
  <c r="Y19" i="60"/>
  <c r="Y18" i="60"/>
  <c r="Y17" i="60"/>
  <c r="Y16" i="60"/>
  <c r="Y15" i="60"/>
  <c r="Y14" i="60"/>
  <c r="Y13" i="60"/>
  <c r="Y12" i="60"/>
  <c r="Y11" i="60"/>
  <c r="Y10" i="60"/>
  <c r="Y20" i="59"/>
  <c r="Y19" i="59"/>
  <c r="Y18" i="59"/>
  <c r="Y17" i="59"/>
  <c r="Y16" i="59"/>
  <c r="Y15" i="59"/>
  <c r="Y14" i="59"/>
  <c r="Y13" i="59"/>
  <c r="Y12" i="59"/>
  <c r="Y20" i="58"/>
  <c r="Y19" i="58"/>
  <c r="Y18" i="58"/>
  <c r="Y17" i="58"/>
  <c r="Y16" i="58"/>
  <c r="Y15" i="58"/>
  <c r="Y14" i="58"/>
  <c r="Y13" i="58"/>
  <c r="Y12" i="58"/>
  <c r="Y11" i="58"/>
  <c r="Y10" i="58"/>
  <c r="Y9" i="58"/>
  <c r="Y20" i="57"/>
  <c r="Y19" i="57"/>
  <c r="Y18" i="57"/>
  <c r="Y17" i="57"/>
  <c r="Y16" i="57"/>
  <c r="Y15" i="57"/>
  <c r="Y14" i="57"/>
  <c r="Y13" i="57"/>
  <c r="Y12" i="57"/>
  <c r="Y11" i="57"/>
  <c r="Y10" i="57"/>
  <c r="Y20" i="56"/>
  <c r="Y19" i="56"/>
  <c r="Y18" i="56"/>
  <c r="Y17" i="56"/>
  <c r="Y16" i="56"/>
  <c r="Y15" i="56"/>
  <c r="Y14" i="56"/>
  <c r="Y13" i="56"/>
  <c r="Y12" i="56"/>
  <c r="Y11" i="56"/>
  <c r="Y10" i="56"/>
  <c r="Y9" i="56"/>
  <c r="Y8" i="56"/>
  <c r="Y7" i="56"/>
  <c r="Y6" i="56"/>
  <c r="Y5" i="56"/>
  <c r="Y4" i="56"/>
  <c r="Y3" i="56"/>
  <c r="Y20" i="55"/>
  <c r="Y19" i="55"/>
  <c r="Y18" i="55"/>
  <c r="Y17" i="55"/>
  <c r="Y16" i="55"/>
  <c r="Y15" i="55"/>
  <c r="Y14" i="55"/>
  <c r="Y13" i="55"/>
  <c r="Y12" i="55"/>
  <c r="Y11" i="55"/>
  <c r="Y10" i="55"/>
  <c r="Y20" i="54"/>
  <c r="Y19" i="54"/>
  <c r="Y18" i="54"/>
  <c r="Y17" i="54"/>
  <c r="Y16" i="54"/>
  <c r="Y20" i="53"/>
  <c r="Y19" i="53"/>
  <c r="Y18" i="53"/>
  <c r="Y17" i="53"/>
  <c r="Y16" i="53"/>
  <c r="Y15" i="53"/>
  <c r="Y14" i="53"/>
  <c r="Y13" i="53"/>
  <c r="Y12" i="53"/>
  <c r="Y11" i="53"/>
  <c r="Y10" i="53"/>
  <c r="Y20" i="52"/>
  <c r="Y19" i="52"/>
  <c r="Y18" i="52"/>
  <c r="Y17" i="52"/>
  <c r="Y16" i="52"/>
  <c r="Y15" i="52"/>
  <c r="Y14" i="52"/>
  <c r="Y13" i="52"/>
  <c r="Y12" i="52"/>
  <c r="Y11" i="52"/>
  <c r="Y10" i="52"/>
  <c r="Y9" i="52"/>
  <c r="Y8" i="52"/>
  <c r="Y20" i="51"/>
  <c r="Y19" i="51"/>
  <c r="Y18" i="51"/>
  <c r="Y17" i="51"/>
  <c r="Y16" i="51"/>
  <c r="Y15" i="51"/>
  <c r="Y14" i="51"/>
  <c r="Y13" i="51"/>
  <c r="Y12" i="51"/>
  <c r="Y11" i="51"/>
  <c r="Y10" i="51"/>
  <c r="Y20" i="50"/>
  <c r="Y19" i="50"/>
  <c r="Y18" i="50"/>
  <c r="Y17" i="50"/>
  <c r="Y16" i="50"/>
  <c r="Y15" i="50"/>
  <c r="Y14" i="50"/>
  <c r="Y13" i="50"/>
  <c r="Y12" i="50"/>
  <c r="Y11" i="50"/>
  <c r="Y10" i="50"/>
  <c r="Y9" i="50"/>
  <c r="Y20" i="46"/>
  <c r="Y19" i="46"/>
  <c r="Y18" i="46"/>
  <c r="Y17" i="46"/>
  <c r="Y16" i="46"/>
  <c r="Y15" i="46"/>
  <c r="Y14" i="46"/>
  <c r="Y13" i="46"/>
  <c r="Y12" i="46"/>
  <c r="Y11" i="46"/>
  <c r="Y10" i="46"/>
  <c r="Y20" i="45"/>
  <c r="Y19" i="45"/>
  <c r="Y18" i="45"/>
  <c r="Y17" i="45"/>
  <c r="Y16" i="45"/>
  <c r="Y15" i="45"/>
  <c r="Y14" i="45"/>
  <c r="Y13" i="45"/>
  <c r="Y20" i="44"/>
  <c r="Y19" i="44"/>
  <c r="Y18" i="44"/>
  <c r="Y17" i="44"/>
  <c r="Y16" i="44"/>
  <c r="Y15" i="44"/>
  <c r="Y14" i="44"/>
  <c r="Y13" i="44"/>
  <c r="Y12" i="44"/>
  <c r="Y11" i="44"/>
  <c r="Y10" i="44"/>
  <c r="Y9" i="44"/>
  <c r="Y8" i="44"/>
  <c r="Y7" i="44"/>
  <c r="Y6" i="44"/>
  <c r="Y5" i="44"/>
  <c r="Y4" i="44"/>
  <c r="Y3" i="44"/>
  <c r="Y20" i="43"/>
  <c r="Y19" i="43"/>
  <c r="Y18" i="43"/>
  <c r="Y17" i="43"/>
  <c r="Y16" i="43"/>
  <c r="Y15" i="43"/>
  <c r="Y14" i="43"/>
  <c r="Y13" i="43"/>
  <c r="Y12" i="43"/>
  <c r="Y11" i="43"/>
  <c r="Y10" i="43"/>
  <c r="Y20" i="42"/>
  <c r="Y19" i="42"/>
  <c r="Y18" i="42"/>
  <c r="Y17" i="42"/>
  <c r="Y16" i="42"/>
  <c r="Y15" i="42"/>
  <c r="Y14" i="42"/>
  <c r="Y13" i="42"/>
  <c r="Y12" i="42"/>
  <c r="Y11" i="42"/>
  <c r="Y10" i="42"/>
  <c r="Y20" i="41"/>
  <c r="Y19" i="41"/>
  <c r="Y18" i="41"/>
  <c r="Y17" i="41"/>
  <c r="Y16" i="41"/>
  <c r="Y15" i="41"/>
  <c r="Y14" i="41"/>
  <c r="Y13" i="41"/>
  <c r="Y12" i="41"/>
  <c r="Y11" i="41"/>
  <c r="Y10" i="41"/>
  <c r="Y20" i="40"/>
  <c r="Y19" i="40"/>
  <c r="Y18" i="40"/>
  <c r="Y17" i="40"/>
  <c r="Y16" i="40"/>
  <c r="Y15" i="40"/>
  <c r="Y14" i="40"/>
  <c r="Y13" i="40"/>
  <c r="Y12" i="40"/>
  <c r="Y11" i="40"/>
  <c r="Y10" i="40"/>
  <c r="Y9" i="40"/>
  <c r="Y8" i="40"/>
  <c r="Y20" i="39"/>
  <c r="Y19" i="39"/>
  <c r="Y18" i="39"/>
  <c r="Y17" i="39"/>
  <c r="Y16" i="39"/>
  <c r="Y15" i="39"/>
  <c r="Y14" i="39"/>
  <c r="Y13" i="39"/>
  <c r="Y12" i="39"/>
  <c r="Y11" i="39"/>
  <c r="Y10" i="39"/>
  <c r="Y9" i="39"/>
  <c r="Y20" i="38"/>
  <c r="Y19" i="38"/>
  <c r="Y18" i="38"/>
  <c r="Y17" i="38"/>
  <c r="Y16" i="38"/>
  <c r="Y15" i="38"/>
  <c r="Y14" i="38"/>
  <c r="Y13" i="38"/>
  <c r="Y12" i="38"/>
  <c r="Y11" i="38"/>
  <c r="Y10" i="38"/>
  <c r="Y9" i="38"/>
  <c r="Y20" i="37"/>
  <c r="Y19" i="37"/>
  <c r="Y18" i="37"/>
  <c r="Y17" i="37"/>
  <c r="Y16" i="37"/>
  <c r="Y15" i="37"/>
  <c r="Y14" i="37"/>
  <c r="Y13" i="37"/>
  <c r="Y12" i="37"/>
  <c r="Y11" i="37"/>
  <c r="Y10" i="37"/>
  <c r="Y20" i="36"/>
  <c r="Y19" i="36"/>
  <c r="Y18" i="36"/>
  <c r="Y17" i="36"/>
  <c r="Y16" i="36"/>
  <c r="Y15" i="36"/>
  <c r="Y14" i="36"/>
  <c r="Y13" i="36"/>
  <c r="Y12" i="36"/>
  <c r="Y11" i="36"/>
  <c r="Y10" i="36"/>
  <c r="Y9" i="36"/>
  <c r="Y8" i="36"/>
  <c r="Y7" i="36"/>
  <c r="Y20" i="35"/>
  <c r="Y19" i="35"/>
  <c r="Y18" i="35"/>
  <c r="Y17" i="35"/>
  <c r="Y16" i="35"/>
  <c r="Y15" i="35"/>
  <c r="Y14" i="35"/>
  <c r="Y13" i="35"/>
  <c r="Y12" i="35"/>
  <c r="Y11" i="35"/>
  <c r="Y10" i="35"/>
  <c r="Y9" i="35"/>
  <c r="Y20" i="34"/>
  <c r="Y19" i="34"/>
  <c r="Y18" i="34"/>
  <c r="Y17" i="34"/>
  <c r="Y16" i="34"/>
  <c r="Y15" i="34"/>
  <c r="Y14" i="34"/>
  <c r="Y13" i="34"/>
  <c r="Y12" i="34"/>
  <c r="Y11" i="34"/>
  <c r="Y10" i="34"/>
  <c r="Y9" i="34"/>
  <c r="Y20" i="33"/>
  <c r="Y19" i="33"/>
  <c r="Y18" i="33"/>
  <c r="Y17" i="33"/>
  <c r="Y16" i="33"/>
  <c r="Y15" i="33"/>
  <c r="Y14" i="33"/>
  <c r="Y13" i="33"/>
  <c r="Y12" i="33"/>
  <c r="Y11" i="33"/>
  <c r="Y10" i="33"/>
  <c r="Y9" i="33"/>
  <c r="Y20" i="32"/>
  <c r="Y19" i="32"/>
  <c r="Y18" i="32"/>
  <c r="Y17" i="32"/>
  <c r="Y16" i="32"/>
  <c r="Y15" i="32"/>
  <c r="Y14" i="32"/>
  <c r="Y13" i="32"/>
  <c r="Y12" i="32"/>
  <c r="Y11" i="32"/>
  <c r="Y10" i="32"/>
  <c r="A3" i="32" a="1"/>
  <c r="AB9" i="32"/>
  <c r="Y20" i="31"/>
  <c r="Y19" i="31"/>
  <c r="Y18" i="31"/>
  <c r="Y17" i="31"/>
  <c r="Y16" i="31"/>
  <c r="Y15" i="31"/>
  <c r="Y14" i="31"/>
  <c r="Y13" i="31"/>
  <c r="Y12" i="31"/>
  <c r="Y11" i="31"/>
  <c r="Y10" i="31"/>
  <c r="Y9" i="31"/>
  <c r="Y20" i="30"/>
  <c r="Y19" i="30"/>
  <c r="Y18" i="30"/>
  <c r="Y17" i="30"/>
  <c r="Y16" i="30"/>
  <c r="Y15" i="30"/>
  <c r="Y14" i="30"/>
  <c r="Y13" i="30"/>
  <c r="Y12" i="30"/>
  <c r="Y11" i="30"/>
  <c r="Y20" i="29"/>
  <c r="Y19" i="29"/>
  <c r="Y18" i="29"/>
  <c r="Y17" i="29"/>
  <c r="Y16" i="29"/>
  <c r="Y15" i="29"/>
  <c r="Y14" i="29"/>
  <c r="Y13" i="29"/>
  <c r="Y12" i="29"/>
  <c r="Y11" i="29"/>
  <c r="Y10" i="29"/>
  <c r="Y20" i="28"/>
  <c r="Y19" i="28"/>
  <c r="Y18" i="28"/>
  <c r="Y17" i="28"/>
  <c r="Y16" i="28"/>
  <c r="Y15" i="28"/>
  <c r="Y14" i="28"/>
  <c r="Y13" i="28"/>
  <c r="Y12" i="28"/>
  <c r="Y11" i="28"/>
  <c r="Y10" i="28"/>
  <c r="Y9" i="28"/>
  <c r="Y20" i="27"/>
  <c r="Y19" i="27"/>
  <c r="Y18" i="27"/>
  <c r="Y17" i="27"/>
  <c r="Y16" i="27"/>
  <c r="Y15" i="27"/>
  <c r="Y14" i="27"/>
  <c r="Y13" i="27"/>
  <c r="Y12" i="27"/>
  <c r="Y11" i="27"/>
  <c r="Y10" i="27"/>
  <c r="Y9" i="27"/>
  <c r="Y8" i="27"/>
  <c r="Y20" i="26"/>
  <c r="Y19" i="26"/>
  <c r="Y18" i="26"/>
  <c r="Y17" i="26"/>
  <c r="Y16" i="26"/>
  <c r="Y15" i="26"/>
  <c r="Y14" i="26"/>
  <c r="Y13" i="26"/>
  <c r="Y12" i="26"/>
  <c r="Y11" i="26"/>
  <c r="Y10" i="26"/>
  <c r="Y9" i="26"/>
  <c r="Y8" i="26"/>
  <c r="Y20" i="25"/>
  <c r="Y19" i="25"/>
  <c r="Y18" i="25"/>
  <c r="Y17" i="25"/>
  <c r="Y16" i="25"/>
  <c r="Y15" i="25"/>
  <c r="Y14" i="25"/>
  <c r="Y13" i="25"/>
  <c r="Y12" i="25"/>
  <c r="Y11" i="25"/>
  <c r="Y10" i="25"/>
  <c r="Y9" i="25"/>
  <c r="Y20" i="24"/>
  <c r="Y19" i="24"/>
  <c r="Y18" i="24"/>
  <c r="Y17" i="24"/>
  <c r="Y16" i="24"/>
  <c r="Y15" i="24"/>
  <c r="Y14" i="24"/>
  <c r="Y13" i="24"/>
  <c r="Y12" i="24"/>
  <c r="Y11" i="24"/>
  <c r="Y10" i="24"/>
  <c r="Y9" i="24"/>
  <c r="Y20" i="23"/>
  <c r="Y19" i="23"/>
  <c r="Y18" i="23"/>
  <c r="Y17" i="23"/>
  <c r="Y16" i="23"/>
  <c r="Y15" i="23"/>
  <c r="Y14" i="23"/>
  <c r="Y13" i="23"/>
  <c r="Y12" i="23"/>
  <c r="Y11" i="23"/>
  <c r="Y10" i="23"/>
  <c r="Y20" i="22"/>
  <c r="Y19" i="22"/>
  <c r="Y18" i="22"/>
  <c r="Y17" i="22"/>
  <c r="Y16" i="22"/>
  <c r="Y15" i="22"/>
  <c r="Y14" i="22"/>
  <c r="Y13" i="22"/>
  <c r="Y12" i="22"/>
  <c r="Y11" i="22"/>
  <c r="Y10" i="22"/>
  <c r="Y9" i="22"/>
  <c r="Y20" i="21"/>
  <c r="Y19" i="21"/>
  <c r="Y18" i="21"/>
  <c r="Y17" i="21"/>
  <c r="Y16" i="21"/>
  <c r="Y15" i="21"/>
  <c r="Y14" i="21"/>
  <c r="Y13" i="21"/>
  <c r="Y12" i="21"/>
  <c r="Y11" i="21"/>
  <c r="Y10" i="21"/>
  <c r="Y20" i="20"/>
  <c r="Y19" i="20"/>
  <c r="Y18" i="20"/>
  <c r="Y17" i="20"/>
  <c r="Y16" i="20"/>
  <c r="Y15" i="20"/>
  <c r="Y14" i="20"/>
  <c r="Y13" i="20"/>
  <c r="Y12" i="20"/>
  <c r="Y11" i="20"/>
  <c r="Y10" i="20"/>
  <c r="Y9" i="20"/>
  <c r="Y8" i="20"/>
  <c r="Y20" i="19"/>
  <c r="Y19" i="19"/>
  <c r="Y18" i="19"/>
  <c r="Y17" i="19"/>
  <c r="Y16" i="19"/>
  <c r="Y15" i="19"/>
  <c r="Y14" i="19"/>
  <c r="Y13" i="19"/>
  <c r="Y12" i="19"/>
  <c r="Y11" i="19"/>
  <c r="Y10" i="19"/>
  <c r="Y9" i="19"/>
  <c r="Y8" i="19"/>
  <c r="Y20" i="18"/>
  <c r="Y19" i="18"/>
  <c r="Y18" i="18"/>
  <c r="Y17" i="18"/>
  <c r="Y16" i="18"/>
  <c r="Y15" i="18"/>
  <c r="Y14" i="18"/>
  <c r="Y13" i="18"/>
  <c r="Y12" i="18"/>
  <c r="Y11" i="18"/>
  <c r="Y10" i="18"/>
  <c r="Y9" i="18"/>
  <c r="Y20" i="17"/>
  <c r="Y19" i="17"/>
  <c r="Y18" i="17"/>
  <c r="Y17" i="17"/>
  <c r="Y16" i="17"/>
  <c r="Y15" i="17"/>
  <c r="Y14" i="17"/>
  <c r="Y13" i="17"/>
  <c r="Y12" i="17"/>
  <c r="Y11" i="17"/>
  <c r="Y20" i="16"/>
  <c r="Y19" i="16"/>
  <c r="Y18" i="16"/>
  <c r="Y17" i="16"/>
  <c r="Y16" i="16"/>
  <c r="Y15" i="16"/>
  <c r="Y14" i="16"/>
  <c r="Y13" i="16"/>
  <c r="Y12" i="16"/>
  <c r="Y11" i="16"/>
  <c r="Y10" i="16"/>
  <c r="Y20" i="15"/>
  <c r="Y19" i="15"/>
  <c r="Y18" i="15"/>
  <c r="Y17" i="15"/>
  <c r="Y16" i="15"/>
  <c r="Y15" i="15"/>
  <c r="Y14" i="15"/>
  <c r="Y13" i="15"/>
  <c r="Y12" i="15"/>
  <c r="Y11" i="15"/>
  <c r="Y10" i="15"/>
  <c r="Y9" i="15"/>
  <c r="Y8" i="15"/>
  <c r="Y20" i="14"/>
  <c r="Y19" i="14"/>
  <c r="Y18" i="14"/>
  <c r="Y17" i="14"/>
  <c r="Y16" i="14"/>
  <c r="Y15" i="14"/>
  <c r="Y14" i="14"/>
  <c r="Y13" i="14"/>
  <c r="Y12" i="14"/>
  <c r="Y11" i="14"/>
  <c r="Y10" i="14"/>
  <c r="Y20" i="13"/>
  <c r="Y19" i="13"/>
  <c r="Y18" i="13"/>
  <c r="Y17" i="13"/>
  <c r="Y16" i="13"/>
  <c r="Y15" i="13"/>
  <c r="Y14" i="13"/>
  <c r="Y13" i="13"/>
  <c r="Y12" i="13"/>
  <c r="Y20" i="12"/>
  <c r="Y19" i="12"/>
  <c r="Y18" i="12"/>
  <c r="Y17" i="12"/>
  <c r="Y16" i="12"/>
  <c r="Y15" i="12"/>
  <c r="Y14" i="12"/>
  <c r="Y13" i="12"/>
  <c r="Y12" i="12"/>
  <c r="Y11" i="12"/>
  <c r="Y10" i="12"/>
  <c r="Y9" i="12"/>
  <c r="Y33" i="54"/>
  <c r="Y32" i="54"/>
  <c r="Y31" i="54"/>
  <c r="Y30" i="54"/>
  <c r="Y29" i="54"/>
  <c r="Y28" i="54"/>
  <c r="Y27" i="54"/>
  <c r="Y26" i="54"/>
  <c r="Y25" i="54"/>
  <c r="Y24" i="54"/>
  <c r="Y23" i="54"/>
  <c r="Y22" i="54"/>
  <c r="Y21" i="54"/>
  <c r="Y33" i="53"/>
  <c r="Y32" i="53"/>
  <c r="Y31" i="53"/>
  <c r="Y30" i="53"/>
  <c r="Y29" i="53"/>
  <c r="Y28" i="53"/>
  <c r="Y27" i="53"/>
  <c r="Y26" i="53"/>
  <c r="Y25" i="53"/>
  <c r="Y24" i="53"/>
  <c r="Y23" i="53"/>
  <c r="Y22" i="53"/>
  <c r="Y21" i="53"/>
  <c r="Y33" i="52"/>
  <c r="Y32" i="52"/>
  <c r="Y31" i="52"/>
  <c r="Y30" i="52"/>
  <c r="Y29" i="52"/>
  <c r="Y28" i="52"/>
  <c r="Y27" i="52"/>
  <c r="Y26" i="52"/>
  <c r="Y25" i="52"/>
  <c r="Y24" i="52"/>
  <c r="Y23" i="52"/>
  <c r="Y22" i="52"/>
  <c r="Y21" i="52"/>
  <c r="Y33" i="51"/>
  <c r="Y32" i="51"/>
  <c r="Y31" i="51"/>
  <c r="Y30" i="51"/>
  <c r="Y29" i="51"/>
  <c r="Y28" i="51"/>
  <c r="Y27" i="51"/>
  <c r="Y26" i="51"/>
  <c r="Y25" i="51"/>
  <c r="Y24" i="51"/>
  <c r="Y23" i="51"/>
  <c r="Y22" i="51"/>
  <c r="Y21" i="51"/>
  <c r="Y33" i="50"/>
  <c r="Y32" i="50"/>
  <c r="Y31" i="50"/>
  <c r="Y30" i="50"/>
  <c r="Y29" i="50"/>
  <c r="Y28" i="50"/>
  <c r="Y27" i="50"/>
  <c r="Y26" i="50"/>
  <c r="Y25" i="50"/>
  <c r="Y24" i="50"/>
  <c r="Y23" i="50"/>
  <c r="Y22" i="50"/>
  <c r="Y21" i="50"/>
  <c r="Y33" i="49"/>
  <c r="Y32" i="49"/>
  <c r="Y31" i="49"/>
  <c r="Y30" i="49"/>
  <c r="Y29" i="49"/>
  <c r="Y28" i="49"/>
  <c r="Y27" i="49"/>
  <c r="Y26" i="49"/>
  <c r="Y25" i="49"/>
  <c r="Y24" i="49"/>
  <c r="Y23" i="49"/>
  <c r="Y33" i="48"/>
  <c r="Y32" i="48"/>
  <c r="Y31" i="48"/>
  <c r="Y30" i="48"/>
  <c r="Y29" i="48"/>
  <c r="Y28" i="48"/>
  <c r="Y27" i="48"/>
  <c r="Y26" i="48"/>
  <c r="Y25" i="48"/>
  <c r="Y33" i="46"/>
  <c r="Y32" i="46"/>
  <c r="Y31" i="46"/>
  <c r="Y30" i="46"/>
  <c r="Y29" i="46"/>
  <c r="Y28" i="46"/>
  <c r="Y27" i="46"/>
  <c r="Y26" i="46"/>
  <c r="Y25" i="46"/>
  <c r="Y24" i="46"/>
  <c r="Y23" i="46"/>
  <c r="Y22" i="46"/>
  <c r="Y21" i="46"/>
  <c r="Y33" i="45"/>
  <c r="Y32" i="45"/>
  <c r="Y31" i="45"/>
  <c r="Y30" i="45"/>
  <c r="Y29" i="45"/>
  <c r="Y28" i="45"/>
  <c r="Y27" i="45"/>
  <c r="Y26" i="45"/>
  <c r="Y25" i="45"/>
  <c r="Y24" i="45"/>
  <c r="Y23" i="45"/>
  <c r="Y22" i="45"/>
  <c r="Y21" i="45"/>
  <c r="Y33" i="44"/>
  <c r="Y32" i="44"/>
  <c r="Y31" i="44"/>
  <c r="Y30" i="44"/>
  <c r="Y29" i="44"/>
  <c r="Y28" i="44"/>
  <c r="Y27" i="44"/>
  <c r="Y26" i="44"/>
  <c r="Y25" i="44"/>
  <c r="Y24" i="44"/>
  <c r="Y23" i="44"/>
  <c r="Y22" i="44"/>
  <c r="Y21" i="44"/>
  <c r="Y33" i="43"/>
  <c r="Y32" i="43"/>
  <c r="Y31" i="43"/>
  <c r="Y30" i="43"/>
  <c r="Y29" i="43"/>
  <c r="Y28" i="43"/>
  <c r="Y27" i="43"/>
  <c r="Y26" i="43"/>
  <c r="Y25" i="43"/>
  <c r="Y24" i="43"/>
  <c r="Y23" i="43"/>
  <c r="Y22" i="43"/>
  <c r="Y21" i="43"/>
  <c r="Y33" i="42"/>
  <c r="Y32" i="42"/>
  <c r="Y31" i="42"/>
  <c r="Y30" i="42"/>
  <c r="Y29" i="42"/>
  <c r="Y28" i="42"/>
  <c r="Y27" i="42"/>
  <c r="Y26" i="42"/>
  <c r="Y25" i="42"/>
  <c r="Y24" i="42"/>
  <c r="Y23" i="42"/>
  <c r="Y22" i="42"/>
  <c r="Y21" i="42"/>
  <c r="Y33" i="41"/>
  <c r="Y32" i="41"/>
  <c r="Y31" i="41"/>
  <c r="Y30" i="41"/>
  <c r="Y29" i="41"/>
  <c r="Y28" i="41"/>
  <c r="Y27" i="41"/>
  <c r="Y26" i="41"/>
  <c r="Y25" i="41"/>
  <c r="Y24" i="41"/>
  <c r="Y23" i="41"/>
  <c r="Y22" i="41"/>
  <c r="Y21" i="41"/>
  <c r="Y33" i="40"/>
  <c r="Y32" i="40"/>
  <c r="Y31" i="40"/>
  <c r="Y30" i="40"/>
  <c r="Y29" i="40"/>
  <c r="Y28" i="40"/>
  <c r="Y27" i="40"/>
  <c r="Y26" i="40"/>
  <c r="Y25" i="40"/>
  <c r="Y24" i="40"/>
  <c r="Y23" i="40"/>
  <c r="Y22" i="40"/>
  <c r="Y21" i="40"/>
  <c r="Y33" i="39"/>
  <c r="Y32" i="39"/>
  <c r="Y31" i="39"/>
  <c r="Y30" i="39"/>
  <c r="Y29" i="39"/>
  <c r="Y28" i="39"/>
  <c r="Y27" i="39"/>
  <c r="Y26" i="39"/>
  <c r="Y25" i="39"/>
  <c r="Y24" i="39"/>
  <c r="Y23" i="39"/>
  <c r="Y22" i="39"/>
  <c r="Y21" i="39"/>
  <c r="Y33" i="38"/>
  <c r="Y32" i="38"/>
  <c r="Y31" i="38"/>
  <c r="Y30" i="38"/>
  <c r="Y29" i="38"/>
  <c r="Y28" i="38"/>
  <c r="Y27" i="38"/>
  <c r="Y26" i="38"/>
  <c r="Y25" i="38"/>
  <c r="Y24" i="38"/>
  <c r="Y23" i="38"/>
  <c r="Y22" i="38"/>
  <c r="Y21" i="38"/>
  <c r="Y33" i="37"/>
  <c r="Y32" i="37"/>
  <c r="Y31" i="37"/>
  <c r="Y30" i="37"/>
  <c r="Y29" i="37"/>
  <c r="Y28" i="37"/>
  <c r="Y27" i="37"/>
  <c r="Y26" i="37"/>
  <c r="Y25" i="37"/>
  <c r="Y24" i="37"/>
  <c r="Y23" i="37"/>
  <c r="Y22" i="37"/>
  <c r="Y21" i="37"/>
  <c r="Y33" i="36"/>
  <c r="Y32" i="36"/>
  <c r="Y31" i="36"/>
  <c r="Y30" i="36"/>
  <c r="Y29" i="36"/>
  <c r="Y28" i="36"/>
  <c r="Y27" i="36"/>
  <c r="Y26" i="36"/>
  <c r="Y25" i="36"/>
  <c r="Y24" i="36"/>
  <c r="Y23" i="36"/>
  <c r="Y22" i="36"/>
  <c r="Y21" i="36"/>
  <c r="Y33" i="35"/>
  <c r="Y32" i="35"/>
  <c r="Y31" i="35"/>
  <c r="Y30" i="35"/>
  <c r="Y29" i="35"/>
  <c r="Y28" i="35"/>
  <c r="Y27" i="35"/>
  <c r="Y26" i="35"/>
  <c r="Y25" i="35"/>
  <c r="Y24" i="35"/>
  <c r="Y23" i="35"/>
  <c r="Y22" i="35"/>
  <c r="Y21" i="35"/>
  <c r="Y33" i="34"/>
  <c r="Y32" i="34"/>
  <c r="Y31" i="34"/>
  <c r="Y30" i="34"/>
  <c r="Y29" i="34"/>
  <c r="Y28" i="34"/>
  <c r="Y27" i="34"/>
  <c r="Y26" i="34"/>
  <c r="Y25" i="34"/>
  <c r="Y24" i="34"/>
  <c r="Y23" i="34"/>
  <c r="Y22" i="34"/>
  <c r="Y21" i="34"/>
  <c r="Y33" i="33"/>
  <c r="Y32" i="33"/>
  <c r="Y31" i="33"/>
  <c r="Y30" i="33"/>
  <c r="Y29" i="33"/>
  <c r="Y28" i="33"/>
  <c r="Y27" i="33"/>
  <c r="Y26" i="33"/>
  <c r="Y25" i="33"/>
  <c r="Y24" i="33"/>
  <c r="Y23" i="33"/>
  <c r="Y22" i="33"/>
  <c r="Y21" i="33"/>
  <c r="Y33" i="32"/>
  <c r="Y32" i="32"/>
  <c r="Y31" i="32"/>
  <c r="Y30" i="32"/>
  <c r="Y29" i="32"/>
  <c r="Y28" i="32"/>
  <c r="Y27" i="32"/>
  <c r="Y26" i="32"/>
  <c r="Y25" i="32"/>
  <c r="Y24" i="32"/>
  <c r="Y23" i="32"/>
  <c r="Y22" i="32"/>
  <c r="Y21" i="32"/>
  <c r="Y33" i="31"/>
  <c r="Y32" i="31"/>
  <c r="Y31" i="31"/>
  <c r="Y30" i="31"/>
  <c r="Y29" i="31"/>
  <c r="Y28" i="31"/>
  <c r="Y27" i="31"/>
  <c r="Y26" i="31"/>
  <c r="Y25" i="31"/>
  <c r="Y24" i="31"/>
  <c r="Y23" i="31"/>
  <c r="Y22" i="31"/>
  <c r="Y21" i="31"/>
  <c r="Y33" i="30"/>
  <c r="Y32" i="30"/>
  <c r="Y31" i="30"/>
  <c r="Y30" i="30"/>
  <c r="Y29" i="30"/>
  <c r="Y28" i="30"/>
  <c r="Y27" i="30"/>
  <c r="Y26" i="30"/>
  <c r="Y25" i="30"/>
  <c r="Y24" i="30"/>
  <c r="Y23" i="30"/>
  <c r="Y22" i="30"/>
  <c r="Y21" i="30"/>
  <c r="Y33" i="29"/>
  <c r="Y32" i="29"/>
  <c r="Y31" i="29"/>
  <c r="Y30" i="29"/>
  <c r="Y29" i="29"/>
  <c r="Y28" i="29"/>
  <c r="Y27" i="29"/>
  <c r="Y26" i="29"/>
  <c r="Y25" i="29"/>
  <c r="Y24" i="29"/>
  <c r="Y23" i="29"/>
  <c r="Y22" i="29"/>
  <c r="Y21" i="29"/>
  <c r="Y33" i="28"/>
  <c r="Y32" i="28"/>
  <c r="Y31" i="28"/>
  <c r="Y30" i="28"/>
  <c r="Y29" i="28"/>
  <c r="Y28" i="28"/>
  <c r="Y27" i="28"/>
  <c r="Y26" i="28"/>
  <c r="Y25" i="28"/>
  <c r="Y24" i="28"/>
  <c r="Y23" i="28"/>
  <c r="Y22" i="28"/>
  <c r="Y21" i="28"/>
  <c r="Y33" i="27"/>
  <c r="Y32" i="27"/>
  <c r="Y31" i="27"/>
  <c r="Y30" i="27"/>
  <c r="Y29" i="27"/>
  <c r="Y28" i="27"/>
  <c r="Y27" i="27"/>
  <c r="Y26" i="27"/>
  <c r="Y25" i="27"/>
  <c r="Y24" i="27"/>
  <c r="Y23" i="27"/>
  <c r="Y22" i="27"/>
  <c r="Y21" i="27"/>
  <c r="Y33" i="26"/>
  <c r="Y32" i="26"/>
  <c r="Y31" i="26"/>
  <c r="Y30" i="26"/>
  <c r="Y29" i="26"/>
  <c r="Y28" i="26"/>
  <c r="Y27" i="26"/>
  <c r="Y26" i="26"/>
  <c r="Y25" i="26"/>
  <c r="Y24" i="26"/>
  <c r="Y23" i="26"/>
  <c r="Y22" i="26"/>
  <c r="Y21" i="26"/>
  <c r="Y33" i="25"/>
  <c r="Y32" i="25"/>
  <c r="Y31" i="25"/>
  <c r="Y30" i="25"/>
  <c r="Y29" i="25"/>
  <c r="Y28" i="25"/>
  <c r="Y27" i="25"/>
  <c r="Y26" i="25"/>
  <c r="Y25" i="25"/>
  <c r="Y24" i="25"/>
  <c r="Y23" i="25"/>
  <c r="Y22" i="25"/>
  <c r="Y21" i="25"/>
  <c r="Y33" i="24"/>
  <c r="Y32" i="24"/>
  <c r="Y31" i="24"/>
  <c r="Y30" i="24"/>
  <c r="Y29" i="24"/>
  <c r="Y28" i="24"/>
  <c r="Y27" i="24"/>
  <c r="Y26" i="24"/>
  <c r="Y25" i="24"/>
  <c r="Y24" i="24"/>
  <c r="Y23" i="24"/>
  <c r="Y22" i="24"/>
  <c r="Y21" i="24"/>
  <c r="Y33" i="23"/>
  <c r="Y32" i="23"/>
  <c r="Y31" i="23"/>
  <c r="Y30" i="23"/>
  <c r="Y29" i="23"/>
  <c r="Y28" i="23"/>
  <c r="Y27" i="23"/>
  <c r="Y26" i="23"/>
  <c r="Y25" i="23"/>
  <c r="Y24" i="23"/>
  <c r="Y23" i="23"/>
  <c r="Y22" i="23"/>
  <c r="Y21" i="23"/>
  <c r="Y33" i="22"/>
  <c r="Y32" i="22"/>
  <c r="Y31" i="22"/>
  <c r="Y30" i="22"/>
  <c r="Y29" i="22"/>
  <c r="Y28" i="22"/>
  <c r="Y27" i="22"/>
  <c r="Y26" i="22"/>
  <c r="Y25" i="22"/>
  <c r="Y24" i="22"/>
  <c r="Y23" i="22"/>
  <c r="Y22" i="22"/>
  <c r="Y21" i="22"/>
  <c r="Y33" i="21"/>
  <c r="Y32" i="21"/>
  <c r="Y31" i="21"/>
  <c r="Y30" i="21"/>
  <c r="Y29" i="21"/>
  <c r="Y28" i="21"/>
  <c r="Y27" i="21"/>
  <c r="Y26" i="21"/>
  <c r="Y25" i="21"/>
  <c r="Y24" i="21"/>
  <c r="Y23" i="21"/>
  <c r="Y22" i="21"/>
  <c r="Y21" i="21"/>
  <c r="Y33" i="20"/>
  <c r="Y32" i="20"/>
  <c r="Y31" i="20"/>
  <c r="Y30" i="20"/>
  <c r="Y29" i="20"/>
  <c r="Y28" i="20"/>
  <c r="Y27" i="20"/>
  <c r="Y26" i="20"/>
  <c r="Y25" i="20"/>
  <c r="Y24" i="20"/>
  <c r="Y23" i="20"/>
  <c r="Y22" i="20"/>
  <c r="Y21" i="20"/>
  <c r="Y33" i="19"/>
  <c r="Y32" i="19"/>
  <c r="Y31" i="19"/>
  <c r="Y30" i="19"/>
  <c r="Y29" i="19"/>
  <c r="Y28" i="19"/>
  <c r="Y27" i="19"/>
  <c r="Y26" i="19"/>
  <c r="Y25" i="19"/>
  <c r="Y24" i="19"/>
  <c r="Y23" i="19"/>
  <c r="Y22" i="19"/>
  <c r="Y21" i="19"/>
  <c r="Y33" i="18"/>
  <c r="Y32" i="18"/>
  <c r="Y31" i="18"/>
  <c r="Y30" i="18"/>
  <c r="Y29" i="18"/>
  <c r="Y28" i="18"/>
  <c r="Y27" i="18"/>
  <c r="Y26" i="18"/>
  <c r="Y25" i="18"/>
  <c r="Y24" i="18"/>
  <c r="Y23" i="18"/>
  <c r="Y22" i="18"/>
  <c r="Y21" i="18"/>
  <c r="Y33" i="17"/>
  <c r="Y32" i="17"/>
  <c r="Y31" i="17"/>
  <c r="Y30" i="17"/>
  <c r="Y29" i="17"/>
  <c r="Y28" i="17"/>
  <c r="Y27" i="17"/>
  <c r="Y26" i="17"/>
  <c r="Y25" i="17"/>
  <c r="Y24" i="17"/>
  <c r="Y23" i="17"/>
  <c r="Y22" i="17"/>
  <c r="Y21" i="17"/>
  <c r="Y33" i="16"/>
  <c r="Y32" i="16"/>
  <c r="Y31" i="16"/>
  <c r="Y30" i="16"/>
  <c r="Y29" i="16"/>
  <c r="Y28" i="16"/>
  <c r="Y27" i="16"/>
  <c r="Y26" i="16"/>
  <c r="Y25" i="16"/>
  <c r="Y24" i="16"/>
  <c r="Y23" i="16"/>
  <c r="Y22" i="16"/>
  <c r="Y21" i="16"/>
  <c r="Y33" i="15"/>
  <c r="Y32" i="15"/>
  <c r="Y31" i="15"/>
  <c r="Y30" i="15"/>
  <c r="Y29" i="15"/>
  <c r="Y28" i="15"/>
  <c r="Y27" i="15"/>
  <c r="Y26" i="15"/>
  <c r="Y25" i="15"/>
  <c r="Y24" i="15"/>
  <c r="Y23" i="15"/>
  <c r="Y22" i="15"/>
  <c r="Y21" i="15"/>
  <c r="Y33" i="14"/>
  <c r="Y32" i="14"/>
  <c r="Y31" i="14"/>
  <c r="Y30" i="14"/>
  <c r="Y29" i="14"/>
  <c r="Y28" i="14"/>
  <c r="Y27" i="14"/>
  <c r="Y26" i="14"/>
  <c r="Y25" i="14"/>
  <c r="Y24" i="14"/>
  <c r="Y23" i="14"/>
  <c r="Y22" i="14"/>
  <c r="Y21" i="14"/>
  <c r="Y33" i="13"/>
  <c r="Y32" i="13"/>
  <c r="Y31" i="13"/>
  <c r="Y30" i="13"/>
  <c r="Y29" i="13"/>
  <c r="Y28" i="13"/>
  <c r="Y27" i="13"/>
  <c r="Y26" i="13"/>
  <c r="Y25" i="13"/>
  <c r="Y24" i="13"/>
  <c r="Y23" i="13"/>
  <c r="Y22" i="13"/>
  <c r="Y21" i="13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Y9" i="32"/>
  <c r="A3" i="32"/>
  <c r="AB8" i="32"/>
  <c r="AB7" i="32"/>
  <c r="AB6" i="32"/>
  <c r="AB5" i="32"/>
  <c r="AB3" i="32"/>
  <c r="AB4" i="32"/>
  <c r="Y8" i="32"/>
  <c r="Y7" i="32"/>
  <c r="Y6" i="32"/>
  <c r="Y5" i="32"/>
  <c r="Y4" i="32"/>
  <c r="Y3" i="32"/>
  <c r="A3" i="60" a="1"/>
  <c r="AB6" i="60"/>
  <c r="AB4" i="60"/>
  <c r="AB3" i="60"/>
  <c r="AB8" i="60"/>
  <c r="AB7" i="60"/>
  <c r="AB5" i="60"/>
  <c r="Y8" i="60"/>
  <c r="Y9" i="60"/>
  <c r="Y6" i="60"/>
  <c r="Y7" i="60"/>
  <c r="Y4" i="60"/>
  <c r="Y5" i="60"/>
  <c r="A3" i="60"/>
  <c r="Y3" i="60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S11" i="5"/>
  <c r="S13" i="5"/>
  <c r="S12" i="5"/>
  <c r="S9" i="5"/>
  <c r="S5" i="5"/>
  <c r="U2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A3" i="72" a="1"/>
  <c r="A3" i="70" a="1"/>
  <c r="A3" i="70"/>
  <c r="A3" i="69" a="1"/>
  <c r="A3" i="68" a="1"/>
  <c r="A3" i="68"/>
  <c r="A3" i="67" a="1"/>
  <c r="A3" i="66" a="1"/>
  <c r="A3" i="65" a="1"/>
  <c r="A3" i="64" a="1"/>
  <c r="A3" i="63" a="1"/>
  <c r="A3" i="62" a="1"/>
  <c r="A3" i="61" a="1"/>
  <c r="A3" i="59" a="1"/>
  <c r="A3" i="58" a="1"/>
  <c r="A3" i="57" a="1"/>
  <c r="A3" i="56" a="1"/>
  <c r="A3" i="56"/>
  <c r="A3" i="55" a="1"/>
  <c r="A3" i="54" a="1"/>
  <c r="AB9" i="54"/>
  <c r="A3" i="53" a="1"/>
  <c r="A3" i="52" a="1"/>
  <c r="A3" i="51" a="1"/>
  <c r="A3" i="50" a="1"/>
  <c r="A3" i="49" a="1"/>
  <c r="A3" i="48" a="1"/>
  <c r="A3" i="48"/>
  <c r="A3" i="47" a="1"/>
  <c r="A3" i="46" a="1"/>
  <c r="A3" i="45" a="1"/>
  <c r="A3" i="44" a="1"/>
  <c r="A3" i="44"/>
  <c r="A3" i="42" a="1"/>
  <c r="A3" i="43" a="1"/>
  <c r="A3" i="41" a="1"/>
  <c r="A3" i="40" a="1"/>
  <c r="AB7" i="40"/>
  <c r="A3" i="39" a="1"/>
  <c r="A3" i="38" a="1"/>
  <c r="A3" i="37" a="1"/>
  <c r="A3" i="36" a="1"/>
  <c r="A3" i="35" a="1"/>
  <c r="A3" i="34" a="1"/>
  <c r="A3" i="33" a="1"/>
  <c r="A3" i="31" a="1"/>
  <c r="A3" i="30" a="1"/>
  <c r="A3" i="29" a="1"/>
  <c r="A3" i="28" a="1"/>
  <c r="A3" i="27" a="1"/>
  <c r="A3" i="26" a="1"/>
  <c r="A3" i="25" a="1"/>
  <c r="A3" i="24" a="1"/>
  <c r="A3" i="23" a="1"/>
  <c r="A3" i="22" a="1"/>
  <c r="A3" i="21" a="1"/>
  <c r="A3" i="20" a="1"/>
  <c r="A3" i="19" a="1"/>
  <c r="A3" i="18" a="1"/>
  <c r="A3" i="17" a="1"/>
  <c r="A3" i="16" a="1"/>
  <c r="A3" i="15" a="1"/>
  <c r="A3" i="14" a="1"/>
  <c r="A3" i="13" a="1"/>
  <c r="A3" i="12" a="1"/>
  <c r="A32" i="5" a="1"/>
  <c r="A1" i="4" a="1"/>
  <c r="A1" i="4"/>
  <c r="S4" i="5"/>
  <c r="S3" i="5"/>
  <c r="S2" i="5"/>
  <c r="AU93" i="8"/>
  <c r="AU77" i="8"/>
  <c r="Y11" i="13"/>
  <c r="AB11" i="13"/>
  <c r="AB9" i="46"/>
  <c r="Y9" i="46"/>
  <c r="Y8" i="64"/>
  <c r="AB8" i="64"/>
  <c r="Y7" i="15"/>
  <c r="AB7" i="15"/>
  <c r="Y9" i="53"/>
  <c r="AB9" i="53"/>
  <c r="Y9" i="57"/>
  <c r="AB9" i="57"/>
  <c r="Y8" i="49"/>
  <c r="AB8" i="49"/>
  <c r="AB12" i="45"/>
  <c r="Y12" i="45"/>
  <c r="AB11" i="45"/>
  <c r="Y11" i="45"/>
  <c r="AB8" i="50"/>
  <c r="Y8" i="50"/>
  <c r="AB9" i="14"/>
  <c r="Y9" i="14"/>
  <c r="AB7" i="62"/>
  <c r="Y7" i="62"/>
  <c r="AB8" i="25"/>
  <c r="Y8" i="25"/>
  <c r="Y7" i="25"/>
  <c r="AB7" i="25"/>
  <c r="Y6" i="36"/>
  <c r="AB6" i="36"/>
  <c r="Y9" i="16"/>
  <c r="AB9" i="16"/>
  <c r="AB9" i="21"/>
  <c r="Y9" i="21"/>
  <c r="Y7" i="64"/>
  <c r="AB7" i="64"/>
  <c r="Y9" i="51"/>
  <c r="AB9" i="51"/>
  <c r="Y8" i="28"/>
  <c r="AB8" i="28"/>
  <c r="Y8" i="51"/>
  <c r="AB8" i="51"/>
  <c r="AB7" i="50"/>
  <c r="Y7" i="50"/>
  <c r="AB6" i="50"/>
  <c r="Y6" i="50"/>
  <c r="AB10" i="17"/>
  <c r="Y10" i="17"/>
  <c r="Y7" i="52"/>
  <c r="AB7" i="52"/>
  <c r="AB8" i="53"/>
  <c r="Y8" i="53"/>
  <c r="Y8" i="35"/>
  <c r="AB8" i="35"/>
  <c r="AB8" i="14"/>
  <c r="Y8" i="14"/>
  <c r="Y6" i="72"/>
  <c r="AB6" i="72"/>
  <c r="AB9" i="41"/>
  <c r="Y9" i="41"/>
  <c r="AB8" i="34"/>
  <c r="Y8" i="34"/>
  <c r="AB8" i="58"/>
  <c r="Y8" i="58"/>
  <c r="Y7" i="51"/>
  <c r="AB7" i="51"/>
  <c r="AB8" i="65"/>
  <c r="Y8" i="65"/>
  <c r="Y8" i="67"/>
  <c r="AB8" i="67"/>
  <c r="Y8" i="46"/>
  <c r="AB8" i="46"/>
  <c r="AB11" i="59"/>
  <c r="Y11" i="59"/>
  <c r="Y8" i="24"/>
  <c r="AB8" i="24"/>
  <c r="AB8" i="21"/>
  <c r="Y8" i="21"/>
  <c r="AB9" i="23"/>
  <c r="Y9" i="23"/>
  <c r="AB7" i="34"/>
  <c r="Y7" i="34"/>
  <c r="AB8" i="63"/>
  <c r="Y8" i="63"/>
  <c r="AB9" i="55"/>
  <c r="Y9" i="55"/>
  <c r="Y8" i="23"/>
  <c r="AB8" i="23"/>
  <c r="AB7" i="24"/>
  <c r="Y7" i="24"/>
  <c r="AB10" i="59"/>
  <c r="Y10" i="59"/>
  <c r="AB8" i="61"/>
  <c r="Y8" i="61"/>
  <c r="AB9" i="17"/>
  <c r="Y9" i="17"/>
  <c r="Y8" i="31"/>
  <c r="AB8" i="31"/>
  <c r="AB8" i="29"/>
  <c r="Y9" i="29"/>
  <c r="AB9" i="29"/>
  <c r="AB8" i="38"/>
  <c r="Y8" i="38"/>
  <c r="Y7" i="47"/>
  <c r="AB7" i="47"/>
  <c r="Y9" i="37"/>
  <c r="AB9" i="37"/>
  <c r="AB10" i="30"/>
  <c r="Y10" i="30"/>
  <c r="AB9" i="43"/>
  <c r="Y9" i="43"/>
  <c r="AB9" i="42"/>
  <c r="Y9" i="42"/>
  <c r="AB7" i="31"/>
  <c r="Y7" i="31"/>
  <c r="Y7" i="28"/>
  <c r="AB7" i="28"/>
  <c r="Y8" i="18"/>
  <c r="AB8" i="18"/>
  <c r="AB7" i="26"/>
  <c r="Y7" i="26"/>
  <c r="AB8" i="22"/>
  <c r="Y8" i="22"/>
  <c r="AB9" i="45"/>
  <c r="AB10" i="45"/>
  <c r="Y10" i="45"/>
  <c r="AB7" i="18"/>
  <c r="Y7" i="18"/>
  <c r="AB6" i="51"/>
  <c r="Y6" i="51"/>
  <c r="Y9" i="30"/>
  <c r="AB9" i="30"/>
  <c r="Y7" i="22"/>
  <c r="AB7" i="22"/>
  <c r="AB10" i="13"/>
  <c r="Y10" i="13"/>
  <c r="Y6" i="64"/>
  <c r="AB6" i="64"/>
  <c r="Y8" i="57"/>
  <c r="AB8" i="57"/>
  <c r="Y9" i="13"/>
  <c r="AB9" i="13"/>
  <c r="AB6" i="31"/>
  <c r="Y6" i="31"/>
  <c r="AB8" i="41"/>
  <c r="Y8" i="41"/>
  <c r="AB6" i="27"/>
  <c r="AB5" i="27"/>
  <c r="AB3" i="27"/>
  <c r="AB4" i="27"/>
  <c r="AB6" i="61"/>
  <c r="AB5" i="61"/>
  <c r="AB3" i="61"/>
  <c r="AB4" i="61"/>
  <c r="AB7" i="61"/>
  <c r="AB3" i="12"/>
  <c r="AB4" i="12"/>
  <c r="AB5" i="12"/>
  <c r="AB6" i="12"/>
  <c r="AB8" i="12"/>
  <c r="AB7" i="12"/>
  <c r="Y6" i="28"/>
  <c r="AB6" i="28"/>
  <c r="AB5" i="28"/>
  <c r="AB4" i="28"/>
  <c r="AB3" i="28"/>
  <c r="Y9" i="45"/>
  <c r="AB5" i="45"/>
  <c r="AB4" i="45"/>
  <c r="AB3" i="45"/>
  <c r="AB7" i="45"/>
  <c r="AB8" i="45"/>
  <c r="AB6" i="45"/>
  <c r="Y6" i="62"/>
  <c r="AB4" i="62"/>
  <c r="AB3" i="62"/>
  <c r="AB6" i="62"/>
  <c r="AB5" i="62"/>
  <c r="AB5" i="13"/>
  <c r="AB4" i="13"/>
  <c r="AB3" i="13"/>
  <c r="AB8" i="13"/>
  <c r="AB7" i="13"/>
  <c r="AB6" i="13"/>
  <c r="Y8" i="29"/>
  <c r="AB5" i="29"/>
  <c r="AB4" i="29"/>
  <c r="AB3" i="29"/>
  <c r="AB7" i="29"/>
  <c r="AB6" i="29"/>
  <c r="AB3" i="46"/>
  <c r="AB7" i="46"/>
  <c r="AB6" i="46"/>
  <c r="AB5" i="46"/>
  <c r="AB4" i="46"/>
  <c r="AB7" i="63"/>
  <c r="AB6" i="63"/>
  <c r="AB5" i="63"/>
  <c r="AB4" i="63"/>
  <c r="AB3" i="63"/>
  <c r="Y7" i="14"/>
  <c r="AB3" i="14"/>
  <c r="AB4" i="14"/>
  <c r="AB7" i="14"/>
  <c r="AB6" i="14"/>
  <c r="AB5" i="14"/>
  <c r="Y8" i="30"/>
  <c r="AB3" i="30"/>
  <c r="AB7" i="30"/>
  <c r="AB5" i="30"/>
  <c r="AB6" i="30"/>
  <c r="AB4" i="30"/>
  <c r="AB8" i="30"/>
  <c r="Y3" i="47"/>
  <c r="AB4" i="47"/>
  <c r="Y5" i="47"/>
  <c r="AB6" i="47"/>
  <c r="AB5" i="47"/>
  <c r="Y4" i="47"/>
  <c r="AB3" i="47"/>
  <c r="Y6" i="47"/>
  <c r="AB5" i="64"/>
  <c r="AB4" i="64"/>
  <c r="AB3" i="64"/>
  <c r="AB6" i="15"/>
  <c r="AB5" i="15"/>
  <c r="AB4" i="15"/>
  <c r="AB3" i="15"/>
  <c r="AB6" i="65"/>
  <c r="AB5" i="65"/>
  <c r="AB7" i="65"/>
  <c r="AB4" i="65"/>
  <c r="AB3" i="65"/>
  <c r="AB7" i="16"/>
  <c r="AB8" i="16"/>
  <c r="AB6" i="16"/>
  <c r="AB5" i="16"/>
  <c r="AB4" i="16"/>
  <c r="AB3" i="16"/>
  <c r="Y8" i="33"/>
  <c r="AB7" i="33"/>
  <c r="AB5" i="33"/>
  <c r="AB4" i="33"/>
  <c r="AB6" i="33"/>
  <c r="AB3" i="33"/>
  <c r="Y6" i="49"/>
  <c r="AB6" i="49"/>
  <c r="AB7" i="49"/>
  <c r="Y7" i="49"/>
  <c r="AB3" i="49"/>
  <c r="Y4" i="49"/>
  <c r="Y5" i="49"/>
  <c r="AB4" i="49"/>
  <c r="AB5" i="49"/>
  <c r="Y6" i="66"/>
  <c r="AB5" i="66"/>
  <c r="AB4" i="66"/>
  <c r="AB6" i="66"/>
  <c r="AB3" i="66"/>
  <c r="AB7" i="17"/>
  <c r="AB8" i="17"/>
  <c r="AB6" i="17"/>
  <c r="AB5" i="17"/>
  <c r="AB4" i="17"/>
  <c r="AB3" i="17"/>
  <c r="AB6" i="34"/>
  <c r="AB5" i="34"/>
  <c r="AB4" i="34"/>
  <c r="AB3" i="34"/>
  <c r="AB7" i="67"/>
  <c r="AB6" i="67"/>
  <c r="AB5" i="67"/>
  <c r="AB4" i="67"/>
  <c r="AB3" i="67"/>
  <c r="AB6" i="18"/>
  <c r="AB3" i="18"/>
  <c r="AB5" i="18"/>
  <c r="AB4" i="18"/>
  <c r="AB6" i="35"/>
  <c r="AB5" i="35"/>
  <c r="AB3" i="35"/>
  <c r="AB7" i="35"/>
  <c r="AB4" i="35"/>
  <c r="Y7" i="19"/>
  <c r="AB4" i="19"/>
  <c r="AB3" i="19"/>
  <c r="AB7" i="19"/>
  <c r="AB6" i="19"/>
  <c r="AB5" i="19"/>
  <c r="AB5" i="36"/>
  <c r="AB4" i="36"/>
  <c r="AB3" i="36"/>
  <c r="Y6" i="52"/>
  <c r="AB6" i="52"/>
  <c r="AB5" i="52"/>
  <c r="AB4" i="52"/>
  <c r="AB3" i="52"/>
  <c r="Y8" i="69"/>
  <c r="AB4" i="69"/>
  <c r="AB3" i="69"/>
  <c r="AB8" i="69"/>
  <c r="AB7" i="69"/>
  <c r="AB6" i="69"/>
  <c r="AB5" i="69"/>
  <c r="Y7" i="20"/>
  <c r="AB7" i="20"/>
  <c r="AB6" i="20"/>
  <c r="AB5" i="20"/>
  <c r="AB4" i="20"/>
  <c r="AB3" i="20"/>
  <c r="Y8" i="37"/>
  <c r="AB5" i="37"/>
  <c r="AB4" i="37"/>
  <c r="AB3" i="37"/>
  <c r="AB8" i="37"/>
  <c r="AB7" i="37"/>
  <c r="AB6" i="37"/>
  <c r="AB7" i="53"/>
  <c r="AB6" i="53"/>
  <c r="AB5" i="53"/>
  <c r="AB4" i="53"/>
  <c r="AB3" i="53"/>
  <c r="AB5" i="21"/>
  <c r="AB4" i="21"/>
  <c r="AB3" i="21"/>
  <c r="AB7" i="21"/>
  <c r="AB6" i="21"/>
  <c r="AB3" i="38"/>
  <c r="AB7" i="38"/>
  <c r="AB6" i="38"/>
  <c r="AB5" i="38"/>
  <c r="AB4" i="38"/>
  <c r="AB6" i="54"/>
  <c r="AB5" i="54"/>
  <c r="AB4" i="54"/>
  <c r="AB3" i="54"/>
  <c r="AB8" i="54"/>
  <c r="AB7" i="54"/>
  <c r="AB5" i="72"/>
  <c r="AB4" i="72"/>
  <c r="AB3" i="72"/>
  <c r="Y6" i="22"/>
  <c r="AB3" i="22"/>
  <c r="AB6" i="22"/>
  <c r="AB5" i="22"/>
  <c r="AB4" i="22"/>
  <c r="Y8" i="39"/>
  <c r="AB8" i="39"/>
  <c r="AB7" i="39"/>
  <c r="AB6" i="39"/>
  <c r="AB5" i="39"/>
  <c r="AB4" i="39"/>
  <c r="AB3" i="39"/>
  <c r="Y8" i="55"/>
  <c r="AB4" i="55"/>
  <c r="AB3" i="55"/>
  <c r="AB8" i="55"/>
  <c r="AB7" i="55"/>
  <c r="AB6" i="55"/>
  <c r="AB5" i="55"/>
  <c r="AB7" i="23"/>
  <c r="AB6" i="23"/>
  <c r="AB5" i="23"/>
  <c r="AB4" i="23"/>
  <c r="AB3" i="23"/>
  <c r="AB6" i="40"/>
  <c r="AB5" i="40"/>
  <c r="AB4" i="40"/>
  <c r="AB3" i="40"/>
  <c r="Y6" i="24"/>
  <c r="AB6" i="24"/>
  <c r="AB5" i="24"/>
  <c r="AB4" i="24"/>
  <c r="AB3" i="24"/>
  <c r="AB3" i="41"/>
  <c r="AB7" i="41"/>
  <c r="AB6" i="41"/>
  <c r="AB5" i="41"/>
  <c r="AB4" i="41"/>
  <c r="AB6" i="57"/>
  <c r="AB7" i="57"/>
  <c r="AB5" i="57"/>
  <c r="AB4" i="57"/>
  <c r="AB3" i="57"/>
  <c r="Y6" i="25"/>
  <c r="AB6" i="25"/>
  <c r="AB4" i="25"/>
  <c r="AB3" i="25"/>
  <c r="AB5" i="25"/>
  <c r="Y8" i="43"/>
  <c r="AB8" i="43"/>
  <c r="AB4" i="43"/>
  <c r="AB3" i="43"/>
  <c r="AB7" i="43"/>
  <c r="AB6" i="43"/>
  <c r="AB5" i="43"/>
  <c r="AB7" i="58"/>
  <c r="AB6" i="58"/>
  <c r="AB5" i="58"/>
  <c r="AB4" i="58"/>
  <c r="AB3" i="58"/>
  <c r="Y6" i="26"/>
  <c r="AB3" i="26"/>
  <c r="AB6" i="26"/>
  <c r="AB5" i="26"/>
  <c r="AB4" i="26"/>
  <c r="Y8" i="42"/>
  <c r="AB8" i="42"/>
  <c r="AB7" i="42"/>
  <c r="AB4" i="42"/>
  <c r="AB3" i="42"/>
  <c r="AB6" i="42"/>
  <c r="AB5" i="42"/>
  <c r="AB9" i="59"/>
  <c r="AB8" i="59"/>
  <c r="AB7" i="59"/>
  <c r="AB6" i="59"/>
  <c r="AB5" i="59"/>
  <c r="AB4" i="59"/>
  <c r="AB3" i="59"/>
  <c r="AB5" i="31"/>
  <c r="AB4" i="31"/>
  <c r="AB3" i="31"/>
  <c r="AB5" i="50"/>
  <c r="AB3" i="50"/>
  <c r="AB4" i="50"/>
  <c r="AB3" i="51"/>
  <c r="AB5" i="51"/>
  <c r="AB4" i="51"/>
  <c r="Y8" i="59"/>
  <c r="Y9" i="59"/>
  <c r="Y4" i="64"/>
  <c r="Y5" i="64"/>
  <c r="Y7" i="17"/>
  <c r="Y8" i="17"/>
  <c r="Y6" i="53"/>
  <c r="Y7" i="53"/>
  <c r="Y6" i="21"/>
  <c r="Y7" i="21"/>
  <c r="Y6" i="23"/>
  <c r="Y7" i="23"/>
  <c r="Y6" i="35"/>
  <c r="Y7" i="35"/>
  <c r="Y6" i="61"/>
  <c r="Y7" i="61"/>
  <c r="Y6" i="57"/>
  <c r="Y7" i="57"/>
  <c r="Y6" i="29"/>
  <c r="Y7" i="29"/>
  <c r="Y4" i="31"/>
  <c r="Y5" i="31"/>
  <c r="Y6" i="33"/>
  <c r="Y7" i="33"/>
  <c r="Y6" i="58"/>
  <c r="Y7" i="58"/>
  <c r="Y4" i="72"/>
  <c r="Y5" i="72"/>
  <c r="Y5" i="34"/>
  <c r="Y6" i="34"/>
  <c r="Y5" i="18"/>
  <c r="Y6" i="18"/>
  <c r="Y6" i="63"/>
  <c r="Y7" i="63"/>
  <c r="Y6" i="46"/>
  <c r="Y7" i="46"/>
  <c r="Y4" i="36"/>
  <c r="Y5" i="36"/>
  <c r="Y6" i="30"/>
  <c r="Y7" i="30"/>
  <c r="AU92" i="8"/>
  <c r="Y7" i="45"/>
  <c r="Y8" i="45"/>
  <c r="Y7" i="16"/>
  <c r="Y8" i="16"/>
  <c r="Y6" i="38"/>
  <c r="Y7" i="38"/>
  <c r="Y7" i="13"/>
  <c r="Y8" i="13"/>
  <c r="Y4" i="28"/>
  <c r="Y5" i="28"/>
  <c r="Y4" i="24"/>
  <c r="Y5" i="24"/>
  <c r="Y6" i="37"/>
  <c r="Y7" i="37"/>
  <c r="Y7" i="12"/>
  <c r="Y8" i="12"/>
  <c r="Y6" i="59"/>
  <c r="Y7" i="59"/>
  <c r="Y4" i="51"/>
  <c r="Y5" i="51"/>
  <c r="Y5" i="19"/>
  <c r="Y6" i="19"/>
  <c r="Y4" i="22"/>
  <c r="Y5" i="22"/>
  <c r="Y6" i="65"/>
  <c r="Y7" i="65"/>
  <c r="Y6" i="55"/>
  <c r="Y7" i="55"/>
  <c r="Y4" i="26"/>
  <c r="Y5" i="26"/>
  <c r="Y6" i="69"/>
  <c r="Y7" i="69"/>
  <c r="Y5" i="20"/>
  <c r="Y6" i="20"/>
  <c r="Y6" i="41"/>
  <c r="Y7" i="41"/>
  <c r="Y4" i="57"/>
  <c r="Y5" i="57"/>
  <c r="Y6" i="67"/>
  <c r="Y7" i="67"/>
  <c r="Y4" i="61"/>
  <c r="Y5" i="61"/>
  <c r="Y4" i="29"/>
  <c r="Y5" i="29"/>
  <c r="Y4" i="23"/>
  <c r="Y5" i="23"/>
  <c r="Y5" i="17"/>
  <c r="Y6" i="17"/>
  <c r="Y6" i="39"/>
  <c r="Y7" i="39"/>
  <c r="Y5" i="13"/>
  <c r="Y6" i="13"/>
  <c r="Y4" i="30"/>
  <c r="Y5" i="30"/>
  <c r="Y4" i="63"/>
  <c r="Y5" i="63"/>
  <c r="Y4" i="21"/>
  <c r="Y5" i="21"/>
  <c r="Y5" i="15"/>
  <c r="Y6" i="15"/>
  <c r="Y4" i="33"/>
  <c r="Y5" i="33"/>
  <c r="Y6" i="43"/>
  <c r="Y7" i="43"/>
  <c r="Y6" i="42"/>
  <c r="Y7" i="42"/>
  <c r="Y6" i="27"/>
  <c r="Y7" i="27"/>
  <c r="Y4" i="62"/>
  <c r="Y5" i="62"/>
  <c r="Y5" i="45"/>
  <c r="Y6" i="45"/>
  <c r="Y4" i="52"/>
  <c r="Y5" i="52"/>
  <c r="Y5" i="12"/>
  <c r="Y6" i="12"/>
  <c r="Y4" i="66"/>
  <c r="Y5" i="66"/>
  <c r="Y4" i="59"/>
  <c r="Y5" i="59"/>
  <c r="Y4" i="37"/>
  <c r="Y5" i="37"/>
  <c r="Y4" i="41"/>
  <c r="Y5" i="41"/>
  <c r="Y4" i="35"/>
  <c r="Y5" i="35"/>
  <c r="Y4" i="55"/>
  <c r="Y5" i="55"/>
  <c r="Y5" i="16"/>
  <c r="Y6" i="16"/>
  <c r="Y4" i="43"/>
  <c r="Y5" i="43"/>
  <c r="Y4" i="42"/>
  <c r="Y5" i="42"/>
  <c r="Y4" i="58"/>
  <c r="Y5" i="58"/>
  <c r="Y4" i="67"/>
  <c r="Y5" i="67"/>
  <c r="Y4" i="69"/>
  <c r="Y5" i="69"/>
  <c r="Y4" i="27"/>
  <c r="Y5" i="27"/>
  <c r="Y4" i="53"/>
  <c r="Y5" i="53"/>
  <c r="Y4" i="38"/>
  <c r="Y5" i="38"/>
  <c r="Y3" i="15"/>
  <c r="Y4" i="15"/>
  <c r="Y6" i="40"/>
  <c r="Y7" i="40"/>
  <c r="Y3" i="20"/>
  <c r="Y4" i="20"/>
  <c r="AB44" i="5"/>
  <c r="AB45" i="5"/>
  <c r="Y4" i="50"/>
  <c r="Y5" i="50"/>
  <c r="A3" i="23"/>
  <c r="Y3" i="23"/>
  <c r="Y4" i="25"/>
  <c r="Y5" i="25"/>
  <c r="A3" i="72"/>
  <c r="Y3" i="72"/>
  <c r="A3" i="51"/>
  <c r="Y3" i="51"/>
  <c r="Y5" i="14"/>
  <c r="Y6" i="14"/>
  <c r="Y3" i="17"/>
  <c r="Y4" i="17"/>
  <c r="Y3" i="14"/>
  <c r="Y4" i="14"/>
  <c r="A3" i="63"/>
  <c r="Y3" i="63"/>
  <c r="Y3" i="18"/>
  <c r="Y4" i="18"/>
  <c r="Y4" i="39"/>
  <c r="Y5" i="39"/>
  <c r="A3" i="37"/>
  <c r="Y3" i="37"/>
  <c r="A3" i="30"/>
  <c r="Y3" i="30"/>
  <c r="A3" i="49"/>
  <c r="Y3" i="49"/>
  <c r="A3" i="58"/>
  <c r="Y3" i="58"/>
  <c r="Y4" i="65"/>
  <c r="Y5" i="65"/>
  <c r="A3" i="66"/>
  <c r="Y3" i="66"/>
  <c r="A3" i="65"/>
  <c r="Y3" i="65"/>
  <c r="A3" i="50"/>
  <c r="Y3" i="50"/>
  <c r="A3" i="67"/>
  <c r="Y3" i="67"/>
  <c r="Y4" i="40"/>
  <c r="Y5" i="40"/>
  <c r="Y3" i="19"/>
  <c r="Y4" i="19"/>
  <c r="A3" i="36"/>
  <c r="Y3" i="36"/>
  <c r="A3" i="40"/>
  <c r="Y3" i="40"/>
  <c r="Y3" i="13"/>
  <c r="Y4" i="13"/>
  <c r="A3" i="57"/>
  <c r="Y3" i="57"/>
  <c r="A3" i="62"/>
  <c r="Y3" i="62"/>
  <c r="A3" i="61"/>
  <c r="Y3" i="61"/>
  <c r="A3" i="43"/>
  <c r="Y3" i="43"/>
  <c r="A3" i="42"/>
  <c r="Y3" i="42"/>
  <c r="A3" i="26"/>
  <c r="Y3" i="26"/>
  <c r="A3" i="25"/>
  <c r="Y3" i="25"/>
  <c r="A3" i="53"/>
  <c r="Y3" i="53"/>
  <c r="Y3" i="16"/>
  <c r="Y4" i="16"/>
  <c r="A3" i="31"/>
  <c r="Y3" i="31"/>
  <c r="Y4" i="46"/>
  <c r="Y5" i="46"/>
  <c r="A3" i="39"/>
  <c r="Y3" i="39"/>
  <c r="Y3" i="45"/>
  <c r="Y4" i="45"/>
  <c r="A3" i="59"/>
  <c r="Y3" i="59"/>
  <c r="A3" i="28"/>
  <c r="Y3" i="28"/>
  <c r="A3" i="33"/>
  <c r="Y3" i="33"/>
  <c r="A3" i="52"/>
  <c r="Y3" i="52"/>
  <c r="A3" i="69"/>
  <c r="Y3" i="69"/>
  <c r="A3" i="29"/>
  <c r="Y3" i="29"/>
  <c r="A3" i="47"/>
  <c r="A3" i="21"/>
  <c r="Y3" i="21"/>
  <c r="A3" i="64"/>
  <c r="Y3" i="64"/>
  <c r="A3" i="46"/>
  <c r="Y3" i="46"/>
  <c r="A3" i="35"/>
  <c r="Y3" i="35"/>
  <c r="A3" i="27"/>
  <c r="Y3" i="27"/>
  <c r="A3" i="41"/>
  <c r="Y3" i="41"/>
  <c r="A3" i="24"/>
  <c r="Y3" i="24"/>
  <c r="A3" i="34"/>
  <c r="Y4" i="34"/>
  <c r="Y3" i="34"/>
  <c r="A3" i="55"/>
  <c r="Y3" i="55"/>
  <c r="A3" i="38"/>
  <c r="Y3" i="38"/>
  <c r="A3" i="22"/>
  <c r="Y3" i="22"/>
  <c r="AU107" i="8"/>
  <c r="AU108" i="8"/>
  <c r="AU109" i="8"/>
  <c r="AU110" i="8"/>
  <c r="AU76" i="8"/>
  <c r="AU31" i="8"/>
  <c r="AU29" i="8"/>
  <c r="AU30" i="8"/>
  <c r="Y6" i="54"/>
  <c r="Y5" i="54"/>
  <c r="Y4" i="54"/>
  <c r="Y3" i="54"/>
  <c r="Y15" i="54"/>
  <c r="Y7" i="54"/>
  <c r="Y13" i="54"/>
  <c r="Y11" i="54"/>
  <c r="Y9" i="54"/>
  <c r="Y8" i="54"/>
  <c r="Y12" i="54"/>
  <c r="Y14" i="54"/>
  <c r="Y10" i="54"/>
  <c r="Y4" i="12"/>
  <c r="Y3" i="12"/>
  <c r="A3" i="54"/>
  <c r="A3" i="16"/>
  <c r="A3" i="18"/>
  <c r="A3" i="17"/>
  <c r="A3" i="19"/>
  <c r="A3" i="20"/>
  <c r="A3" i="13"/>
  <c r="A3" i="45"/>
  <c r="A3" i="14"/>
  <c r="A3" i="15"/>
  <c r="A3" i="12"/>
  <c r="W83" i="8" a="1"/>
  <c r="W83" i="8" s="1"/>
  <c r="AU84" i="8"/>
  <c r="W38" i="8" a="1"/>
  <c r="AU45" i="8" s="1"/>
  <c r="W19" i="8" a="1"/>
  <c r="AU19" i="8" s="1"/>
  <c r="X4" i="5" a="1"/>
  <c r="X4" i="5" s="1"/>
  <c r="B2" i="5"/>
  <c r="AU15" i="8"/>
  <c r="R7" i="5"/>
  <c r="R4" i="5"/>
  <c r="R3" i="5"/>
  <c r="R2" i="5"/>
  <c r="R14" i="5"/>
  <c r="R13" i="5"/>
  <c r="R11" i="5"/>
  <c r="R10" i="5"/>
  <c r="R8" i="5"/>
  <c r="R6" i="5"/>
  <c r="R5" i="5"/>
  <c r="J21" i="5" a="1"/>
  <c r="J21" i="5"/>
  <c r="R12" i="5"/>
  <c r="R9" i="5"/>
  <c r="C5" i="5" l="1"/>
  <c r="L5" i="5"/>
  <c r="F5" i="5"/>
  <c r="F6" i="5"/>
  <c r="C7" i="5"/>
  <c r="I7" i="5"/>
  <c r="C8" i="5"/>
  <c r="F7" i="5"/>
  <c r="L9" i="5"/>
  <c r="L6" i="5"/>
  <c r="C6" i="5"/>
  <c r="L7" i="5"/>
  <c r="C9" i="5"/>
  <c r="A32" i="5"/>
  <c r="I5" i="5"/>
  <c r="I18" i="5" s="1"/>
  <c r="Y11" i="5" a="1"/>
  <c r="I6" i="5"/>
  <c r="B21" i="5" a="1"/>
  <c r="B21" i="5" s="1"/>
  <c r="L8" i="5"/>
  <c r="A5" i="5"/>
  <c r="AU98" i="8"/>
  <c r="K8" i="8"/>
  <c r="AU74" i="8"/>
  <c r="I11" i="8"/>
  <c r="L10" i="8"/>
  <c r="L6" i="8"/>
  <c r="L13" i="8"/>
  <c r="L12" i="8"/>
  <c r="L11" i="8"/>
  <c r="L7" i="8"/>
  <c r="L5" i="8"/>
  <c r="L4" i="8"/>
  <c r="W117" i="8"/>
  <c r="F13" i="8"/>
  <c r="F12" i="8"/>
  <c r="F11" i="8"/>
  <c r="F10" i="8"/>
  <c r="F7" i="8"/>
  <c r="F5" i="8"/>
  <c r="F6" i="8"/>
  <c r="W54" i="8"/>
  <c r="W35" i="8"/>
  <c r="E8" i="8"/>
  <c r="AU35" i="8"/>
  <c r="E18" i="8"/>
  <c r="E17" i="8"/>
  <c r="AU83" i="8"/>
  <c r="J18" i="8"/>
  <c r="W101" i="8" a="1"/>
  <c r="W6" i="8" a="1"/>
  <c r="W3" i="8" a="1"/>
  <c r="C18" i="8" s="1"/>
  <c r="J8" i="8"/>
  <c r="J17" i="8"/>
  <c r="E7" i="8"/>
  <c r="W51" i="8" a="1"/>
  <c r="W114" i="8" a="1"/>
  <c r="AU117" i="8"/>
  <c r="AU120" i="8"/>
  <c r="AU118" i="8"/>
  <c r="AU119" i="8"/>
  <c r="AU121" i="8"/>
  <c r="AU122" i="8"/>
  <c r="AU62" i="8"/>
  <c r="AU55" i="8"/>
  <c r="AU61" i="8"/>
  <c r="AU54" i="8"/>
  <c r="AU60" i="8"/>
  <c r="AU56" i="8"/>
  <c r="AU57" i="8"/>
  <c r="AU58" i="8"/>
  <c r="AU59" i="8"/>
  <c r="D17" i="8"/>
  <c r="W67" i="8" a="1"/>
  <c r="K17" i="8"/>
  <c r="W98" i="8"/>
  <c r="AU39" i="8"/>
  <c r="AU72" i="8"/>
  <c r="I5" i="8"/>
  <c r="I13" i="8"/>
  <c r="AU89" i="8"/>
  <c r="AU88" i="8"/>
  <c r="J10" i="8"/>
  <c r="W86" i="8"/>
  <c r="J7" i="8"/>
  <c r="J5" i="8"/>
  <c r="AU91" i="8"/>
  <c r="J4" i="8"/>
  <c r="J12" i="8"/>
  <c r="J13" i="8"/>
  <c r="AU87" i="8"/>
  <c r="AU86" i="8"/>
  <c r="AU90" i="8"/>
  <c r="J6" i="8"/>
  <c r="D10" i="8"/>
  <c r="AU24" i="8"/>
  <c r="AU25" i="8"/>
  <c r="D13" i="8"/>
  <c r="AU26" i="8"/>
  <c r="D12" i="8"/>
  <c r="AU23" i="8"/>
  <c r="D6" i="8"/>
  <c r="AU27" i="8"/>
  <c r="D5" i="8"/>
  <c r="AU28" i="8"/>
  <c r="D11" i="8"/>
  <c r="D4" i="8"/>
  <c r="W22" i="8"/>
  <c r="D7" i="8"/>
  <c r="AU22" i="8"/>
  <c r="E5" i="8"/>
  <c r="AU42" i="8"/>
  <c r="E10" i="8"/>
  <c r="AU75" i="8"/>
  <c r="W38" i="8"/>
  <c r="K18" i="8"/>
  <c r="AU41" i="8"/>
  <c r="W70" i="8"/>
  <c r="W19" i="8"/>
  <c r="AU40" i="8"/>
  <c r="I6" i="8"/>
  <c r="I12" i="8"/>
  <c r="AU73" i="8"/>
  <c r="E12" i="8"/>
  <c r="E4" i="8"/>
  <c r="AU38" i="8"/>
  <c r="I4" i="8"/>
  <c r="AU71" i="8"/>
  <c r="AU70" i="8"/>
  <c r="E13" i="8"/>
  <c r="E11" i="8"/>
  <c r="AU44" i="8"/>
  <c r="E6" i="8"/>
  <c r="I10" i="8"/>
  <c r="I7" i="8"/>
  <c r="AU20" i="8"/>
  <c r="AU46" i="8"/>
  <c r="D18" i="8"/>
  <c r="AU43" i="8"/>
  <c r="D8" i="8"/>
  <c r="N56" i="11"/>
  <c r="V47" i="11"/>
  <c r="I22" i="11"/>
  <c r="T46" i="11"/>
  <c r="H9" i="11"/>
  <c r="V56" i="11"/>
  <c r="S13" i="11"/>
  <c r="I8" i="11"/>
  <c r="G8" i="11"/>
  <c r="G20" i="11"/>
  <c r="F10" i="11"/>
  <c r="N14" i="11"/>
  <c r="T43" i="11"/>
  <c r="L47" i="11"/>
  <c r="R49" i="11"/>
  <c r="N38" i="11"/>
  <c r="P7" i="11"/>
  <c r="M39" i="11"/>
  <c r="M43" i="11"/>
  <c r="L41" i="11"/>
  <c r="L50" i="11"/>
  <c r="P16" i="11"/>
  <c r="T9" i="11"/>
  <c r="T20" i="11"/>
  <c r="J54" i="11"/>
  <c r="O23" i="11"/>
  <c r="P5" i="11"/>
  <c r="G9" i="11"/>
  <c r="J27" i="11"/>
  <c r="T51" i="11"/>
  <c r="T23" i="11"/>
  <c r="O19" i="11"/>
  <c r="D35" i="11"/>
  <c r="N45" i="11"/>
  <c r="V14" i="11"/>
  <c r="F25" i="11"/>
  <c r="D19" i="11"/>
  <c r="U22" i="11"/>
  <c r="M38" i="11"/>
  <c r="E22" i="11"/>
  <c r="E4" i="11"/>
  <c r="L54" i="11"/>
  <c r="V44" i="11"/>
  <c r="K50" i="11"/>
  <c r="S16" i="11"/>
  <c r="O10" i="11"/>
  <c r="F56" i="11"/>
  <c r="G10" i="11"/>
  <c r="J41" i="11"/>
  <c r="Q5" i="11"/>
  <c r="E8" i="11"/>
  <c r="N36" i="11"/>
  <c r="S30" i="11"/>
  <c r="T53" i="11"/>
  <c r="D28" i="11"/>
  <c r="Q29" i="11"/>
  <c r="G36" i="11"/>
  <c r="T17" i="11"/>
  <c r="J29" i="11"/>
  <c r="K57" i="11"/>
  <c r="K41" i="11"/>
  <c r="L15" i="11"/>
  <c r="S5" i="11"/>
  <c r="D44" i="11"/>
  <c r="D26" i="11"/>
  <c r="K12" i="11"/>
  <c r="R30" i="11"/>
  <c r="G52" i="11"/>
  <c r="D4" i="11"/>
  <c r="R56" i="11"/>
  <c r="K24" i="11"/>
  <c r="Q13" i="11"/>
  <c r="T49" i="11"/>
  <c r="Q16" i="11"/>
  <c r="E28" i="11"/>
  <c r="T15" i="11"/>
  <c r="P31" i="11"/>
  <c r="Q54" i="11"/>
  <c r="D14" i="11"/>
  <c r="S17" i="11"/>
  <c r="R25" i="11"/>
  <c r="J52" i="11"/>
  <c r="U6" i="11"/>
  <c r="R32" i="11"/>
  <c r="O55" i="11"/>
  <c r="M40" i="11"/>
  <c r="S55" i="11"/>
  <c r="J18" i="11"/>
  <c r="S40" i="11"/>
  <c r="N52" i="11"/>
  <c r="U48" i="11"/>
  <c r="F46" i="11"/>
  <c r="N47" i="11"/>
  <c r="O52" i="11"/>
  <c r="M44" i="11"/>
  <c r="K35" i="11"/>
  <c r="R26" i="11"/>
  <c r="H10" i="11"/>
  <c r="P11" i="11"/>
  <c r="G12" i="11"/>
  <c r="I32" i="11"/>
  <c r="M32" i="11"/>
  <c r="M10" i="11"/>
  <c r="L37" i="11"/>
  <c r="D11" i="11"/>
  <c r="K14" i="11"/>
  <c r="G4" i="11"/>
  <c r="U9" i="11"/>
  <c r="H51" i="11"/>
  <c r="M16" i="11"/>
  <c r="H19" i="11"/>
  <c r="N23" i="11"/>
  <c r="T5" i="11"/>
  <c r="M13" i="11"/>
  <c r="R48" i="11"/>
  <c r="T56" i="11"/>
  <c r="M51" i="11"/>
  <c r="F44" i="11"/>
  <c r="J56" i="11"/>
  <c r="S51" i="11"/>
  <c r="L23" i="11"/>
  <c r="E30" i="11"/>
  <c r="O25" i="11"/>
  <c r="G6" i="11"/>
  <c r="R22" i="11"/>
  <c r="F40" i="11"/>
  <c r="U31" i="11"/>
  <c r="P51" i="11"/>
  <c r="H53" i="11"/>
  <c r="H33" i="11"/>
  <c r="V18" i="11"/>
  <c r="L51" i="11"/>
  <c r="P34" i="11"/>
  <c r="P55" i="11"/>
  <c r="M33" i="11"/>
  <c r="H37" i="11"/>
  <c r="E16" i="11"/>
  <c r="K15" i="11"/>
  <c r="P8" i="11"/>
  <c r="O53" i="11"/>
  <c r="G23" i="11"/>
  <c r="V26" i="11"/>
  <c r="J51" i="11"/>
  <c r="D51" i="11"/>
  <c r="I14" i="11"/>
  <c r="V15" i="11"/>
  <c r="T39" i="11"/>
  <c r="G42" i="11"/>
  <c r="E37" i="11"/>
  <c r="N15" i="11"/>
  <c r="P40" i="11"/>
  <c r="D30" i="11"/>
  <c r="G5" i="11"/>
  <c r="N41" i="11"/>
  <c r="F52" i="11"/>
  <c r="G29" i="11"/>
  <c r="Q45" i="11"/>
  <c r="V8" i="11"/>
  <c r="K56" i="11"/>
  <c r="G15" i="11"/>
  <c r="U5" i="11"/>
  <c r="E44" i="11"/>
  <c r="G35" i="11"/>
  <c r="D53" i="11"/>
  <c r="G16" i="11"/>
  <c r="I47" i="11"/>
  <c r="V55" i="11"/>
  <c r="J40" i="11"/>
  <c r="M50" i="11"/>
  <c r="S52" i="11"/>
  <c r="I40" i="11"/>
  <c r="M48" i="11"/>
  <c r="R35" i="11"/>
  <c r="L43" i="11"/>
  <c r="N31" i="11"/>
  <c r="M35" i="11"/>
  <c r="V34" i="11"/>
  <c r="V24" i="11"/>
  <c r="O33" i="11"/>
  <c r="L14" i="11"/>
  <c r="U28" i="11"/>
  <c r="E9" i="11"/>
  <c r="F34" i="11"/>
  <c r="P32" i="11"/>
  <c r="L21" i="11"/>
  <c r="K17" i="11"/>
  <c r="G30" i="11"/>
  <c r="J9" i="11"/>
  <c r="J25" i="11"/>
  <c r="P41" i="11"/>
  <c r="P35" i="11"/>
  <c r="G26" i="11"/>
  <c r="I31" i="11"/>
  <c r="H22" i="11"/>
  <c r="Q31" i="11"/>
  <c r="E27" i="11"/>
  <c r="U13" i="11"/>
  <c r="S41" i="11"/>
  <c r="O6" i="11"/>
  <c r="M57" i="11"/>
  <c r="L19" i="11"/>
  <c r="Q15" i="11"/>
  <c r="E47" i="11"/>
  <c r="J42" i="11"/>
  <c r="N18" i="11"/>
  <c r="P10" i="11"/>
  <c r="F31" i="11"/>
  <c r="G37" i="11"/>
  <c r="J23" i="11"/>
  <c r="O41" i="11"/>
  <c r="T42" i="11"/>
  <c r="Q9" i="11"/>
  <c r="N34" i="11"/>
  <c r="G43" i="11"/>
  <c r="O5" i="11"/>
  <c r="T3" i="11"/>
  <c r="R16" i="11"/>
  <c r="Q50" i="11"/>
  <c r="D21" i="11"/>
  <c r="I16" i="11"/>
  <c r="O14" i="11"/>
  <c r="I44" i="11"/>
  <c r="O35" i="11"/>
  <c r="V32" i="11"/>
  <c r="H56" i="11"/>
  <c r="Q20" i="11"/>
  <c r="O57" i="11"/>
  <c r="M17" i="11"/>
  <c r="D5" i="11"/>
  <c r="H20" i="11"/>
  <c r="U25" i="11"/>
  <c r="H57" i="11"/>
  <c r="T29" i="11"/>
  <c r="P4" i="11"/>
  <c r="K32" i="11"/>
  <c r="J53" i="11"/>
  <c r="J33" i="11"/>
  <c r="R45" i="11"/>
  <c r="R38" i="11"/>
  <c r="J19" i="11"/>
  <c r="K37" i="11"/>
  <c r="R15" i="11"/>
  <c r="E24" i="11"/>
  <c r="P30" i="11"/>
  <c r="S38" i="11"/>
  <c r="H42" i="11"/>
  <c r="K33" i="11"/>
  <c r="M24" i="11"/>
  <c r="J24" i="11"/>
  <c r="L29" i="11"/>
  <c r="F49" i="11"/>
  <c r="V46" i="11"/>
  <c r="F26" i="11"/>
  <c r="N37" i="11"/>
  <c r="G46" i="11"/>
  <c r="I21" i="11"/>
  <c r="D47" i="11"/>
  <c r="T18" i="11"/>
  <c r="G49" i="11"/>
  <c r="R27" i="11"/>
  <c r="P28" i="11"/>
  <c r="F33" i="11"/>
  <c r="N7" i="11"/>
  <c r="L25" i="11"/>
  <c r="N44" i="11"/>
  <c r="L27" i="11"/>
  <c r="S22" i="11"/>
  <c r="E39" i="11"/>
  <c r="I11" i="11"/>
  <c r="H23" i="11"/>
  <c r="S49" i="11"/>
  <c r="F55" i="11"/>
  <c r="V25" i="11"/>
  <c r="M37" i="11"/>
  <c r="H52" i="11"/>
  <c r="G51" i="11"/>
  <c r="U27" i="11"/>
  <c r="O44" i="11"/>
  <c r="K39" i="11"/>
  <c r="U14" i="11"/>
  <c r="I7" i="11"/>
  <c r="G32" i="11"/>
  <c r="G47" i="11"/>
  <c r="S39" i="11"/>
  <c r="S48" i="11"/>
  <c r="N32" i="11"/>
  <c r="L17" i="11"/>
  <c r="U46" i="11"/>
  <c r="N57" i="11"/>
  <c r="O39" i="11"/>
  <c r="D22" i="11"/>
  <c r="R14" i="11"/>
  <c r="J43" i="11"/>
  <c r="M54" i="11"/>
  <c r="P44" i="11"/>
  <c r="G57" i="11"/>
  <c r="U52" i="11"/>
  <c r="H30" i="11"/>
  <c r="N4" i="11"/>
  <c r="J14" i="11"/>
  <c r="I51" i="11"/>
  <c r="U54" i="11"/>
  <c r="I25" i="11"/>
  <c r="V49" i="11"/>
  <c r="K30" i="11"/>
  <c r="G13" i="11"/>
  <c r="D54" i="11"/>
  <c r="P14" i="11"/>
  <c r="U47" i="11"/>
  <c r="E21" i="11"/>
  <c r="H29" i="11"/>
  <c r="T36" i="11"/>
  <c r="P45" i="11"/>
  <c r="H16" i="11"/>
  <c r="L55" i="11"/>
  <c r="R18" i="11"/>
  <c r="I33" i="11"/>
  <c r="T55" i="11"/>
  <c r="K7" i="11"/>
  <c r="V7" i="11"/>
  <c r="R36" i="11"/>
  <c r="U4" i="11"/>
  <c r="O48" i="11"/>
  <c r="N20" i="11"/>
  <c r="N53" i="11"/>
  <c r="M42" i="11"/>
  <c r="L48" i="11"/>
  <c r="L40" i="11"/>
  <c r="I57" i="11"/>
  <c r="O27" i="11"/>
  <c r="R4" i="11"/>
  <c r="Q43" i="11"/>
  <c r="P49" i="11"/>
  <c r="O3" i="11"/>
  <c r="P54" i="11"/>
  <c r="O4" i="11"/>
  <c r="V10" i="11"/>
  <c r="K44" i="11"/>
  <c r="L18" i="11"/>
  <c r="F9" i="11"/>
  <c r="P24" i="11"/>
  <c r="V39" i="11"/>
  <c r="I20" i="11"/>
  <c r="S14" i="11"/>
  <c r="T11" i="11"/>
  <c r="D39" i="11"/>
  <c r="S20" i="11"/>
  <c r="H18" i="11"/>
  <c r="J13" i="11"/>
  <c r="S11" i="11"/>
  <c r="G24" i="11"/>
  <c r="S3" i="11"/>
  <c r="S28" i="11"/>
  <c r="Q18" i="11"/>
  <c r="Q27" i="11"/>
  <c r="V40" i="11"/>
  <c r="O49" i="11"/>
  <c r="E18" i="11"/>
  <c r="J30" i="11"/>
  <c r="E31" i="11"/>
  <c r="S9" i="11"/>
  <c r="H5" i="11"/>
  <c r="H47" i="11"/>
  <c r="G34" i="11"/>
  <c r="R39" i="11"/>
  <c r="F51" i="11"/>
  <c r="H46" i="11"/>
  <c r="F17" i="11"/>
  <c r="V19" i="11"/>
  <c r="H12" i="11"/>
  <c r="U50" i="11"/>
  <c r="J8" i="11"/>
  <c r="U32" i="11"/>
  <c r="E23" i="11"/>
  <c r="P56" i="11"/>
  <c r="S32" i="11"/>
  <c r="H7" i="11"/>
  <c r="D38" i="11"/>
  <c r="G7" i="11"/>
  <c r="Q36" i="11"/>
  <c r="R5" i="11"/>
  <c r="J49" i="11"/>
  <c r="N49" i="11"/>
  <c r="J57" i="11"/>
  <c r="G45" i="11"/>
  <c r="U19" i="11"/>
  <c r="Q30" i="11"/>
  <c r="Q11" i="11"/>
  <c r="N29" i="11"/>
  <c r="J46" i="11"/>
  <c r="J37" i="11"/>
  <c r="R31" i="11"/>
  <c r="D37" i="11"/>
  <c r="Q52" i="11"/>
  <c r="O29" i="11"/>
  <c r="E34" i="11"/>
  <c r="G41" i="11"/>
  <c r="L32" i="11"/>
  <c r="H40" i="11"/>
  <c r="I30" i="11"/>
  <c r="T4" i="11"/>
  <c r="S10" i="11"/>
  <c r="D24" i="11"/>
  <c r="P17" i="11"/>
  <c r="O13" i="11"/>
  <c r="T12" i="11"/>
  <c r="S21" i="11"/>
  <c r="K46" i="11"/>
  <c r="U3" i="11"/>
  <c r="S56" i="11"/>
  <c r="L10" i="11"/>
  <c r="D27" i="11"/>
  <c r="U39" i="11"/>
  <c r="M28" i="11"/>
  <c r="R13" i="11"/>
  <c r="G40" i="11"/>
  <c r="S7" i="11"/>
  <c r="V27" i="11"/>
  <c r="I27" i="11"/>
  <c r="L3" i="11"/>
  <c r="P25" i="11"/>
  <c r="T45" i="11"/>
  <c r="O54" i="11"/>
  <c r="J31" i="11"/>
  <c r="S18" i="11"/>
  <c r="S46" i="11"/>
  <c r="O11" i="11"/>
  <c r="K45" i="11"/>
  <c r="K38" i="11"/>
  <c r="P6" i="11"/>
  <c r="R42" i="11"/>
  <c r="P36" i="11"/>
  <c r="M20" i="11"/>
  <c r="D43" i="11"/>
  <c r="K49" i="11"/>
  <c r="H14" i="11"/>
  <c r="D31" i="11"/>
  <c r="H26" i="11"/>
  <c r="F45" i="11"/>
  <c r="N11" i="11"/>
  <c r="L44" i="11"/>
  <c r="M30" i="11"/>
  <c r="F22" i="11"/>
  <c r="T30" i="11"/>
  <c r="J16" i="11"/>
  <c r="G39" i="11"/>
  <c r="S36" i="11"/>
  <c r="R6" i="11"/>
  <c r="J20" i="11"/>
  <c r="D33" i="11"/>
  <c r="F41" i="11"/>
  <c r="Q35" i="11"/>
  <c r="V50" i="11"/>
  <c r="R3" i="11"/>
  <c r="U35" i="11"/>
  <c r="D56" i="11"/>
  <c r="D25" i="11"/>
  <c r="P26" i="11"/>
  <c r="K20" i="11"/>
  <c r="O32" i="11"/>
  <c r="V38" i="11"/>
  <c r="D10" i="11"/>
  <c r="V30" i="11"/>
  <c r="R46" i="11"/>
  <c r="G53" i="11"/>
  <c r="S50" i="11"/>
  <c r="S4" i="11"/>
  <c r="P27" i="11"/>
  <c r="N6" i="11"/>
  <c r="K47" i="11"/>
  <c r="F37" i="11"/>
  <c r="V17" i="11"/>
  <c r="F28" i="11"/>
  <c r="Q17" i="11"/>
  <c r="L8" i="11"/>
  <c r="E32" i="11"/>
  <c r="M9" i="11"/>
  <c r="U10" i="11"/>
  <c r="H21" i="11"/>
  <c r="T21" i="11"/>
  <c r="V4" i="11"/>
  <c r="N40" i="11"/>
  <c r="T7" i="11"/>
  <c r="H6" i="11"/>
  <c r="D12" i="11"/>
  <c r="J39" i="11"/>
  <c r="K31" i="11"/>
  <c r="M25" i="11"/>
  <c r="D45" i="11"/>
  <c r="Q39" i="11"/>
  <c r="Q10" i="11"/>
  <c r="J36" i="11"/>
  <c r="R50" i="11"/>
  <c r="N13" i="11"/>
  <c r="N28" i="11"/>
  <c r="Q53" i="11"/>
  <c r="D32" i="11"/>
  <c r="R53" i="11"/>
  <c r="M14" i="11"/>
  <c r="K3" i="11"/>
  <c r="G54" i="11"/>
  <c r="V41" i="11"/>
  <c r="H49" i="11"/>
  <c r="S27" i="11"/>
  <c r="L57" i="11"/>
  <c r="L46" i="11"/>
  <c r="M18" i="11"/>
  <c r="H3" i="11"/>
  <c r="R23" i="11"/>
  <c r="M23" i="11"/>
  <c r="G25" i="11"/>
  <c r="N50" i="11"/>
  <c r="E46" i="11"/>
  <c r="J26" i="11"/>
  <c r="T50" i="11"/>
  <c r="N30" i="11"/>
  <c r="E43" i="11"/>
  <c r="E57" i="11"/>
  <c r="Q21" i="11"/>
  <c r="E53" i="11"/>
  <c r="U43" i="11"/>
  <c r="S44" i="11"/>
  <c r="T57" i="11"/>
  <c r="V29" i="11"/>
  <c r="O17" i="11"/>
  <c r="I26" i="11"/>
  <c r="O37" i="11"/>
  <c r="J6" i="11"/>
  <c r="U40" i="11"/>
  <c r="I34" i="11"/>
  <c r="P20" i="11"/>
  <c r="J38" i="11"/>
  <c r="D42" i="11"/>
  <c r="U45" i="11"/>
  <c r="F6" i="11"/>
  <c r="E14" i="11"/>
  <c r="U15" i="11"/>
  <c r="Q32" i="11"/>
  <c r="K23" i="11"/>
  <c r="J17" i="11"/>
  <c r="F7" i="11"/>
  <c r="F48" i="11"/>
  <c r="I56" i="11"/>
  <c r="S43" i="11"/>
  <c r="D7" i="11"/>
  <c r="G28" i="11"/>
  <c r="P47" i="11"/>
  <c r="E12" i="11"/>
  <c r="Q3" i="11"/>
  <c r="D52" i="11"/>
  <c r="M46" i="11"/>
  <c r="Q38" i="11"/>
  <c r="T28" i="11"/>
  <c r="U53" i="11"/>
  <c r="O21" i="11"/>
  <c r="U8" i="11"/>
  <c r="D57" i="11"/>
  <c r="Q23" i="11"/>
  <c r="K40" i="11"/>
  <c r="V57" i="11"/>
  <c r="N8" i="11"/>
  <c r="K43" i="11"/>
  <c r="U21" i="11"/>
  <c r="P38" i="11"/>
  <c r="I52" i="11"/>
  <c r="U12" i="11"/>
  <c r="N42" i="11"/>
  <c r="P48" i="11"/>
  <c r="K19" i="11"/>
  <c r="V6" i="11"/>
  <c r="Q48" i="11"/>
  <c r="U7" i="11"/>
  <c r="M5" i="11"/>
  <c r="M52" i="11"/>
  <c r="R54" i="11"/>
  <c r="L26" i="11"/>
  <c r="N3" i="11"/>
  <c r="K21" i="11"/>
  <c r="F15" i="11"/>
  <c r="E54" i="11"/>
  <c r="P15" i="11"/>
  <c r="E19" i="11"/>
  <c r="M22" i="11"/>
  <c r="P39" i="11"/>
  <c r="E56" i="11"/>
  <c r="E25" i="11"/>
  <c r="S26" i="11"/>
  <c r="M3" i="11"/>
  <c r="O36" i="11"/>
  <c r="F27" i="11"/>
  <c r="O34" i="11"/>
  <c r="Q47" i="11"/>
  <c r="I36" i="11"/>
  <c r="I37" i="11"/>
  <c r="M7" i="11"/>
  <c r="G48" i="11"/>
  <c r="I50" i="11"/>
  <c r="T13" i="11"/>
  <c r="F57" i="11"/>
  <c r="S12" i="11"/>
  <c r="F36" i="11"/>
  <c r="S35" i="11"/>
  <c r="U42" i="11"/>
  <c r="K54" i="11"/>
  <c r="P43" i="11"/>
  <c r="M47" i="11"/>
  <c r="K48" i="11"/>
  <c r="N24" i="11"/>
  <c r="U37" i="11"/>
  <c r="Q51" i="11"/>
  <c r="L30" i="11"/>
  <c r="Q12" i="11"/>
  <c r="F23" i="11"/>
  <c r="T44" i="11"/>
  <c r="T6" i="11"/>
  <c r="V28" i="11"/>
  <c r="T27" i="11"/>
  <c r="N43" i="11"/>
  <c r="Q57" i="11"/>
  <c r="F21" i="11"/>
  <c r="I54" i="11"/>
  <c r="S19" i="11"/>
  <c r="E36" i="11"/>
  <c r="N21" i="11"/>
  <c r="P21" i="11"/>
  <c r="O31" i="11"/>
  <c r="F39" i="11"/>
  <c r="H8" i="11"/>
  <c r="N33" i="11"/>
  <c r="J15" i="11"/>
  <c r="E50" i="11"/>
  <c r="V42" i="11"/>
  <c r="S37" i="11"/>
  <c r="N10" i="11"/>
  <c r="P42" i="11"/>
  <c r="V53" i="11"/>
  <c r="H35" i="11"/>
  <c r="M31" i="11"/>
  <c r="K55" i="11"/>
  <c r="M15" i="11"/>
  <c r="H43" i="11"/>
  <c r="L56" i="11"/>
  <c r="G18" i="11"/>
  <c r="H11" i="11"/>
  <c r="R40" i="11"/>
  <c r="I35" i="11"/>
  <c r="H28" i="11"/>
  <c r="J28" i="11"/>
  <c r="R57" i="11"/>
  <c r="V51" i="11"/>
  <c r="Q28" i="11"/>
  <c r="P37" i="11"/>
  <c r="L45" i="11"/>
  <c r="H48" i="11"/>
  <c r="D23" i="11"/>
  <c r="M26" i="11"/>
  <c r="N51" i="11"/>
  <c r="E7" i="11"/>
  <c r="F50" i="11"/>
  <c r="O43" i="11"/>
  <c r="U29" i="11"/>
  <c r="G31" i="11"/>
  <c r="L6" i="11"/>
  <c r="E49" i="11"/>
  <c r="E40" i="11"/>
  <c r="L53" i="11"/>
  <c r="I10" i="11"/>
  <c r="U26" i="11"/>
  <c r="U33" i="11"/>
  <c r="S57" i="11"/>
  <c r="E10" i="11"/>
  <c r="H50" i="11"/>
  <c r="D48" i="11"/>
  <c r="F24" i="11"/>
  <c r="L38" i="11"/>
  <c r="U30" i="11"/>
  <c r="T14" i="11"/>
  <c r="F30" i="11"/>
  <c r="J47" i="11"/>
  <c r="V52" i="11"/>
  <c r="Q42" i="11"/>
  <c r="Q34" i="11"/>
  <c r="H55" i="11"/>
  <c r="I24" i="11"/>
  <c r="S31" i="11"/>
  <c r="I19" i="11"/>
  <c r="E20" i="11"/>
  <c r="P22" i="11"/>
  <c r="H38" i="11"/>
  <c r="Q26" i="11"/>
  <c r="V31" i="11"/>
  <c r="U20" i="11"/>
  <c r="U34" i="11"/>
  <c r="J50" i="11"/>
  <c r="O22" i="11"/>
  <c r="F12" i="11"/>
  <c r="U41" i="11"/>
  <c r="Q19" i="11"/>
  <c r="M6" i="11"/>
  <c r="T54" i="11"/>
  <c r="K18" i="11"/>
  <c r="D8" i="11"/>
  <c r="O45" i="11"/>
  <c r="J35" i="11"/>
  <c r="K25" i="11"/>
  <c r="L22" i="11"/>
  <c r="V37" i="11"/>
  <c r="G21" i="11"/>
  <c r="T41" i="11"/>
  <c r="D34" i="11"/>
  <c r="M56" i="11"/>
  <c r="V20" i="11"/>
  <c r="T32" i="11"/>
  <c r="J22" i="11"/>
  <c r="R51" i="11"/>
  <c r="D16" i="11"/>
  <c r="P19" i="11"/>
  <c r="E33" i="11"/>
  <c r="U23" i="11"/>
  <c r="R43" i="11"/>
  <c r="E48" i="11"/>
  <c r="U49" i="11"/>
  <c r="O18" i="11"/>
  <c r="P18" i="11"/>
  <c r="I23" i="11"/>
  <c r="K10" i="11"/>
  <c r="H13" i="11"/>
  <c r="G3" i="11"/>
  <c r="R17" i="11"/>
  <c r="R52" i="11"/>
  <c r="V12" i="11"/>
  <c r="I28" i="11"/>
  <c r="M21" i="11"/>
  <c r="N27" i="11"/>
  <c r="Q55" i="11"/>
  <c r="L5" i="11"/>
  <c r="T10" i="11"/>
  <c r="G17" i="11"/>
  <c r="U18" i="11"/>
  <c r="K26" i="11"/>
  <c r="S53" i="11"/>
  <c r="N5" i="11"/>
  <c r="Q49" i="11"/>
  <c r="S47" i="11"/>
  <c r="H27" i="11"/>
  <c r="S6" i="11"/>
  <c r="E6" i="11"/>
  <c r="P13" i="11"/>
  <c r="K4" i="11"/>
  <c r="D6" i="11"/>
  <c r="V36" i="11"/>
  <c r="L13" i="11"/>
  <c r="K42" i="11"/>
  <c r="U16" i="11"/>
  <c r="J55" i="11"/>
  <c r="P50" i="11"/>
  <c r="N35" i="11"/>
  <c r="G56" i="11"/>
  <c r="K52" i="11"/>
  <c r="F18" i="11"/>
  <c r="T38" i="11"/>
  <c r="T22" i="11"/>
  <c r="G27" i="11"/>
  <c r="I48" i="11"/>
  <c r="E5" i="11"/>
  <c r="T34" i="11"/>
  <c r="L49" i="11"/>
  <c r="F43" i="11"/>
  <c r="G55" i="11"/>
  <c r="E11" i="11"/>
  <c r="E38" i="11"/>
  <c r="N22" i="11"/>
  <c r="I3" i="11"/>
  <c r="J21" i="11"/>
  <c r="Q40" i="11"/>
  <c r="L12" i="11"/>
  <c r="O42" i="11"/>
  <c r="N25" i="11"/>
  <c r="V22" i="11"/>
  <c r="V3" i="11"/>
  <c r="O30" i="11"/>
  <c r="R20" i="11"/>
  <c r="D20" i="11"/>
  <c r="T8" i="11"/>
  <c r="J34" i="11"/>
  <c r="J44" i="11"/>
  <c r="R47" i="11"/>
  <c r="E41" i="11"/>
  <c r="D15" i="11"/>
  <c r="V33" i="11"/>
  <c r="R19" i="11"/>
  <c r="O38" i="11"/>
  <c r="R28" i="11"/>
  <c r="L20" i="11"/>
  <c r="D29" i="11"/>
  <c r="T31" i="11"/>
  <c r="M8" i="11"/>
  <c r="L35" i="11"/>
  <c r="M49" i="11"/>
  <c r="E26" i="11"/>
  <c r="L16" i="11"/>
  <c r="L34" i="11"/>
  <c r="V16" i="11"/>
  <c r="V5" i="11"/>
  <c r="T47" i="11"/>
  <c r="I53" i="11"/>
  <c r="F19" i="11"/>
  <c r="L28" i="11"/>
  <c r="R29" i="11"/>
  <c r="T37" i="11"/>
  <c r="S15" i="11"/>
  <c r="O8" i="11"/>
  <c r="S25" i="11"/>
  <c r="R55" i="11"/>
  <c r="O50" i="11"/>
  <c r="L52" i="11"/>
  <c r="U11" i="11"/>
  <c r="K27" i="11"/>
  <c r="I45" i="11"/>
  <c r="D41" i="11"/>
  <c r="N19" i="11"/>
  <c r="N54" i="11"/>
  <c r="T24" i="11"/>
  <c r="I38" i="11"/>
  <c r="P12" i="11"/>
  <c r="F29" i="11"/>
  <c r="L4" i="11"/>
  <c r="G33" i="11"/>
  <c r="G19" i="11"/>
  <c r="F42" i="11"/>
  <c r="K29" i="11"/>
  <c r="K6" i="11"/>
  <c r="U55" i="11"/>
  <c r="H17" i="11"/>
  <c r="D40" i="11"/>
  <c r="G38" i="11"/>
  <c r="O24" i="11"/>
  <c r="P33" i="11"/>
  <c r="L9" i="11"/>
  <c r="D13" i="11"/>
  <c r="F53" i="11"/>
  <c r="S29" i="11"/>
  <c r="V9" i="11"/>
  <c r="V21" i="11"/>
  <c r="I39" i="11"/>
  <c r="D18" i="11"/>
  <c r="O15" i="11"/>
  <c r="J4" i="11"/>
  <c r="J7" i="11"/>
  <c r="F14" i="11"/>
  <c r="U57" i="11"/>
  <c r="N17" i="11"/>
  <c r="S45" i="11"/>
  <c r="Q22" i="11"/>
  <c r="R41" i="11"/>
  <c r="L39" i="11"/>
  <c r="I41" i="11"/>
  <c r="H15" i="11"/>
  <c r="R24" i="11"/>
  <c r="V11" i="11"/>
  <c r="G11" i="11"/>
  <c r="P53" i="11"/>
  <c r="K51" i="11"/>
  <c r="J12" i="11"/>
  <c r="D55" i="11"/>
  <c r="J45" i="11"/>
  <c r="K5" i="11"/>
  <c r="K28" i="11"/>
  <c r="D9" i="11"/>
  <c r="N26" i="11"/>
  <c r="H39" i="11"/>
  <c r="K34" i="11"/>
  <c r="T25" i="11"/>
  <c r="L24" i="11"/>
  <c r="Q37" i="11"/>
  <c r="N9" i="11"/>
  <c r="M19" i="11"/>
  <c r="U38" i="11"/>
  <c r="I4" i="11"/>
  <c r="J3" i="11"/>
  <c r="Q44" i="11"/>
  <c r="I6" i="11"/>
  <c r="T35" i="11"/>
  <c r="E3" i="11"/>
  <c r="O56" i="11"/>
  <c r="L33" i="11"/>
  <c r="N39" i="11"/>
  <c r="S34" i="11"/>
  <c r="D50" i="11"/>
  <c r="M34" i="11"/>
  <c r="S8" i="11"/>
  <c r="O26" i="11"/>
  <c r="K9" i="11"/>
  <c r="U17" i="11"/>
  <c r="G22" i="11"/>
  <c r="F13" i="11"/>
  <c r="M4" i="11"/>
  <c r="I46" i="11"/>
  <c r="M27" i="11"/>
  <c r="Q33" i="11"/>
  <c r="M53" i="11"/>
  <c r="T19" i="11"/>
  <c r="M29" i="11"/>
  <c r="M45" i="11"/>
  <c r="H54" i="11"/>
  <c r="D36" i="11"/>
  <c r="H36" i="11"/>
  <c r="R10" i="11"/>
  <c r="S33" i="11"/>
  <c r="R37" i="11"/>
  <c r="H25" i="11"/>
  <c r="T33" i="11"/>
  <c r="P57" i="11"/>
  <c r="I49" i="11"/>
  <c r="E29" i="11"/>
  <c r="U51" i="11"/>
  <c r="V45" i="11"/>
  <c r="I42" i="11"/>
  <c r="E52" i="11"/>
  <c r="T52" i="11"/>
  <c r="H24" i="11"/>
  <c r="I29" i="11"/>
  <c r="I5" i="11"/>
  <c r="M36" i="11"/>
  <c r="V43" i="11"/>
  <c r="O40" i="11"/>
  <c r="F8" i="11"/>
  <c r="J10" i="11"/>
  <c r="R34" i="11"/>
  <c r="O47" i="11"/>
  <c r="Q8" i="11"/>
  <c r="E55" i="11"/>
  <c r="O51" i="11"/>
  <c r="F20" i="11"/>
  <c r="S42" i="11"/>
  <c r="U36" i="11"/>
  <c r="Q24" i="11"/>
  <c r="Q25" i="11"/>
  <c r="O28" i="11"/>
  <c r="J5" i="11"/>
  <c r="H32" i="11"/>
  <c r="M55" i="11"/>
  <c r="O46" i="11"/>
  <c r="Q46" i="11"/>
  <c r="I13" i="11"/>
  <c r="D46" i="11"/>
  <c r="F54" i="11"/>
  <c r="N46" i="11"/>
  <c r="U56" i="11"/>
  <c r="Q6" i="11"/>
  <c r="V13" i="11"/>
  <c r="M11" i="11"/>
  <c r="O7" i="11"/>
  <c r="Q7" i="11"/>
  <c r="E13" i="11"/>
  <c r="Q56" i="11"/>
  <c r="F3" i="11"/>
  <c r="R33" i="11"/>
  <c r="E15" i="11"/>
  <c r="L36" i="11"/>
  <c r="H31" i="11"/>
  <c r="H45" i="11"/>
  <c r="E35" i="11"/>
  <c r="F11" i="11"/>
  <c r="V23" i="11"/>
  <c r="D3" i="11"/>
  <c r="K53" i="11"/>
  <c r="I18" i="11"/>
  <c r="P46" i="11"/>
  <c r="Q41" i="11"/>
  <c r="P52" i="11"/>
  <c r="R12" i="11"/>
  <c r="I15" i="11"/>
  <c r="I55" i="11"/>
  <c r="D49" i="11"/>
  <c r="F16" i="11"/>
  <c r="R11" i="11"/>
  <c r="M41" i="11"/>
  <c r="K8" i="11"/>
  <c r="E45" i="11"/>
  <c r="U44" i="11"/>
  <c r="S24" i="11"/>
  <c r="R8" i="11"/>
  <c r="N12" i="11"/>
  <c r="F32" i="11"/>
  <c r="G50" i="11"/>
  <c r="E51" i="11"/>
  <c r="V48" i="11"/>
  <c r="T16" i="11"/>
  <c r="N48" i="11"/>
  <c r="Q4" i="11"/>
  <c r="O12" i="11"/>
  <c r="V54" i="11"/>
  <c r="P23" i="11"/>
  <c r="L7" i="11"/>
  <c r="J48" i="11"/>
  <c r="K13" i="11"/>
  <c r="H44" i="11"/>
  <c r="I17" i="11"/>
  <c r="L42" i="11"/>
  <c r="F47" i="11"/>
  <c r="T40" i="11"/>
  <c r="T26" i="11"/>
  <c r="K11" i="11"/>
  <c r="K16" i="11"/>
  <c r="R21" i="11"/>
  <c r="H34" i="11"/>
  <c r="J11" i="11"/>
  <c r="F5" i="11"/>
  <c r="K22" i="11"/>
  <c r="R7" i="11"/>
  <c r="H4" i="11"/>
  <c r="P3" i="11"/>
  <c r="E17" i="11"/>
  <c r="P9" i="11"/>
  <c r="N55" i="11"/>
  <c r="K36" i="11"/>
  <c r="O20" i="11"/>
  <c r="S23" i="11"/>
  <c r="D17" i="11"/>
  <c r="E42" i="11"/>
  <c r="F38" i="11"/>
  <c r="M12" i="11"/>
  <c r="N16" i="11"/>
  <c r="I9" i="11"/>
  <c r="L11" i="11"/>
  <c r="O16" i="11"/>
  <c r="F35" i="11"/>
  <c r="I43" i="11"/>
  <c r="L31" i="11"/>
  <c r="I12" i="11"/>
  <c r="S54" i="11"/>
  <c r="R9" i="11"/>
  <c r="V35" i="11"/>
  <c r="G44" i="11"/>
  <c r="U24" i="11"/>
  <c r="Q14" i="11"/>
  <c r="J32" i="11"/>
  <c r="O9" i="11"/>
  <c r="P29" i="11"/>
  <c r="T48" i="11"/>
  <c r="H41" i="11"/>
  <c r="G14" i="11"/>
  <c r="R44" i="11"/>
  <c r="F4" i="11"/>
  <c r="AB35" i="5" l="1"/>
  <c r="AB26" i="5"/>
  <c r="AB24" i="5"/>
  <c r="AB22" i="5"/>
  <c r="AB30" i="5"/>
  <c r="AB19" i="5"/>
  <c r="AB36" i="5"/>
  <c r="AB16" i="5"/>
  <c r="AB14" i="5"/>
  <c r="AB20" i="5"/>
  <c r="AB42" i="5"/>
  <c r="Y11" i="5"/>
  <c r="AB11" i="5" s="1"/>
  <c r="AB18" i="5"/>
  <c r="AB17" i="5"/>
  <c r="AB15" i="5"/>
  <c r="AB13" i="5"/>
  <c r="AB29" i="5"/>
  <c r="AB43" i="5"/>
  <c r="AB34" i="5"/>
  <c r="AB41" i="5"/>
  <c r="AB39" i="5"/>
  <c r="AB37" i="5"/>
  <c r="AB31" i="5"/>
  <c r="AB23" i="5"/>
  <c r="AB21" i="5"/>
  <c r="AB28" i="5"/>
  <c r="AB27" i="5"/>
  <c r="AB33" i="5"/>
  <c r="AB25" i="5"/>
  <c r="AB40" i="5"/>
  <c r="AB38" i="5"/>
  <c r="AB12" i="5"/>
  <c r="AB32" i="5"/>
  <c r="F18" i="5"/>
  <c r="C18" i="5"/>
  <c r="K13" i="8"/>
  <c r="K12" i="8"/>
  <c r="K11" i="8"/>
  <c r="K10" i="8"/>
  <c r="K7" i="8"/>
  <c r="L8" i="8"/>
  <c r="L18" i="8"/>
  <c r="L17" i="8"/>
  <c r="F8" i="8"/>
  <c r="F18" i="8"/>
  <c r="F17" i="8"/>
  <c r="C6" i="8"/>
  <c r="AU13" i="8"/>
  <c r="AU10" i="8"/>
  <c r="AU11" i="8"/>
  <c r="AU12" i="8"/>
  <c r="AU14" i="8"/>
  <c r="W67" i="8"/>
  <c r="I18" i="8"/>
  <c r="I17" i="8"/>
  <c r="AU67" i="8"/>
  <c r="I8" i="8"/>
  <c r="W114" i="8"/>
  <c r="AU106" i="8"/>
  <c r="AU104" i="8"/>
  <c r="AU101" i="8"/>
  <c r="W101" i="8"/>
  <c r="K5" i="8"/>
  <c r="K4" i="8"/>
  <c r="K6" i="8"/>
  <c r="AU103" i="8"/>
  <c r="AU105" i="8"/>
  <c r="AU102" i="8"/>
  <c r="C5" i="8"/>
  <c r="C4" i="8"/>
  <c r="C17" i="8"/>
  <c r="C10" i="8"/>
  <c r="C8" i="8"/>
  <c r="W6" i="8"/>
  <c r="C12" i="8"/>
  <c r="AU6" i="8"/>
  <c r="AU9" i="8"/>
  <c r="AU8" i="8"/>
  <c r="C13" i="8"/>
  <c r="AU7" i="8"/>
  <c r="C11" i="8"/>
  <c r="C7" i="8"/>
  <c r="W3" i="8"/>
  <c r="W51" i="8"/>
  <c r="AU51" i="8"/>
  <c r="AU114" i="8"/>
  <c r="AW123" i="8" s="1"/>
  <c r="L9" i="8" s="1"/>
  <c r="AW59" i="8"/>
  <c r="F9" i="8" s="1"/>
  <c r="AW43" i="8"/>
  <c r="E9" i="8" s="1"/>
  <c r="AW75" i="8"/>
  <c r="I9" i="8" s="1"/>
  <c r="AW91" i="8"/>
  <c r="J9" i="8" s="1"/>
  <c r="AW25" i="8"/>
  <c r="D9" i="8" s="1"/>
  <c r="A14" i="5" l="1"/>
  <c r="O6" i="5"/>
  <c r="O5" i="5" a="1"/>
  <c r="O5" i="5" s="1"/>
  <c r="O7" i="5"/>
  <c r="AW107" i="8"/>
  <c r="K9" i="8" s="1"/>
  <c r="AW10" i="8"/>
  <c r="C9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<sst xmlns="http://schemas.openxmlformats.org/spreadsheetml/2006/main" count="8422" uniqueCount="818">
  <si>
    <t>Scouter Initials</t>
  </si>
  <si>
    <t>Match Number</t>
  </si>
  <si>
    <t>Robot</t>
  </si>
  <si>
    <t>Team Number</t>
  </si>
  <si>
    <t>Starting Position</t>
  </si>
  <si>
    <t>No Show</t>
  </si>
  <si>
    <t>Preload</t>
  </si>
  <si>
    <t>Moved?</t>
  </si>
  <si>
    <t>Shoot</t>
  </si>
  <si>
    <t>Climbing</t>
  </si>
  <si>
    <t>Cycles</t>
  </si>
  <si>
    <t>End Position</t>
  </si>
  <si>
    <t>Died?</t>
  </si>
  <si>
    <t>Tipped/Fell Over?</t>
  </si>
  <si>
    <t>Comments</t>
  </si>
  <si>
    <t>L1</t>
  </si>
  <si>
    <t>L2</t>
  </si>
  <si>
    <t>L3</t>
  </si>
  <si>
    <t>Depot</t>
  </si>
  <si>
    <t>Hub</t>
  </si>
  <si>
    <t>Outpost</t>
  </si>
  <si>
    <t>Auto</t>
  </si>
  <si>
    <t>Ground</t>
  </si>
  <si>
    <t>Moved</t>
  </si>
  <si>
    <t>Climb</t>
  </si>
  <si>
    <t>procent</t>
  </si>
  <si>
    <t>min</t>
  </si>
  <si>
    <t>avg</t>
  </si>
  <si>
    <t>max</t>
  </si>
  <si>
    <t>Match</t>
  </si>
  <si>
    <t>R1</t>
  </si>
  <si>
    <t>R2</t>
  </si>
  <si>
    <t>R3</t>
  </si>
  <si>
    <t>B1</t>
  </si>
  <si>
    <t>B2</t>
  </si>
  <si>
    <t>B3</t>
  </si>
  <si>
    <t>match_number</t>
  </si>
  <si>
    <t>red1</t>
  </si>
  <si>
    <t>blue1</t>
  </si>
  <si>
    <t>red2</t>
  </si>
  <si>
    <t>blue2</t>
  </si>
  <si>
    <t>red3</t>
  </si>
  <si>
    <t>blue3</t>
  </si>
  <si>
    <t>Pit scouting</t>
  </si>
  <si>
    <t>pit scouter</t>
  </si>
  <si>
    <t>team name</t>
  </si>
  <si>
    <t>weight</t>
  </si>
  <si>
    <t>min height</t>
  </si>
  <si>
    <t>max height</t>
  </si>
  <si>
    <t>hopper balls</t>
  </si>
  <si>
    <t>drivetrain</t>
  </si>
  <si>
    <t>auto</t>
  </si>
  <si>
    <t xml:space="preserve">climb </t>
  </si>
  <si>
    <t xml:space="preserve">pick up </t>
  </si>
  <si>
    <t>cycle time</t>
  </si>
  <si>
    <t>over bump</t>
  </si>
  <si>
    <t>Weight</t>
  </si>
  <si>
    <t>Hopperballs</t>
  </si>
  <si>
    <t>Drivetrain</t>
  </si>
  <si>
    <t>Pickup</t>
  </si>
  <si>
    <t>Kolom1</t>
  </si>
  <si>
    <t>Avg alles</t>
  </si>
  <si>
    <t xml:space="preserve">Min Height       </t>
  </si>
  <si>
    <t>Max height</t>
  </si>
  <si>
    <t xml:space="preserve"> </t>
  </si>
  <si>
    <t>Hopper balls</t>
  </si>
  <si>
    <t>Rood 1</t>
  </si>
  <si>
    <t>Rood 2</t>
  </si>
  <si>
    <t>Rood 3</t>
  </si>
  <si>
    <t>Blauw 1</t>
  </si>
  <si>
    <t>Blauw 3</t>
  </si>
  <si>
    <t>team_number</t>
  </si>
  <si>
    <t>PickUp Ground</t>
  </si>
  <si>
    <t>PickUP Human Player</t>
  </si>
  <si>
    <t>PickUp Depot</t>
  </si>
  <si>
    <t>Amount in Hub</t>
  </si>
  <si>
    <t>Defence/ to other side</t>
  </si>
  <si>
    <t>A</t>
  </si>
  <si>
    <t>NA</t>
  </si>
  <si>
    <t>Attempt</t>
  </si>
  <si>
    <t>No Attempt</t>
  </si>
  <si>
    <t>Human Player</t>
  </si>
  <si>
    <t>blauw 2</t>
  </si>
  <si>
    <t>team_name</t>
  </si>
  <si>
    <t>Kingman FIRST Robotics Team 60 (The Bionic Bulldogs)</t>
  </si>
  <si>
    <t>RoboDawgs 3D</t>
  </si>
  <si>
    <t>The RoboDawgs</t>
  </si>
  <si>
    <t>Hamilton Microbots</t>
  </si>
  <si>
    <t>HIGHROLLERS</t>
  </si>
  <si>
    <t>BroncoBots</t>
  </si>
  <si>
    <t>Mecha Knights</t>
  </si>
  <si>
    <t>Team Paradise</t>
  </si>
  <si>
    <t>Sentinels</t>
  </si>
  <si>
    <t>The Kraken</t>
  </si>
  <si>
    <t>BoxerBots</t>
  </si>
  <si>
    <t>Torbotics</t>
  </si>
  <si>
    <t>Team Tators</t>
  </si>
  <si>
    <t>Plasma Robotics</t>
  </si>
  <si>
    <t>Westwood Robotics</t>
  </si>
  <si>
    <t>CocoNuts</t>
  </si>
  <si>
    <t>RoboKrew</t>
  </si>
  <si>
    <t>PCDS Blue Tide</t>
  </si>
  <si>
    <t>High Scalers</t>
  </si>
  <si>
    <t>Firebirds</t>
  </si>
  <si>
    <t>MRT</t>
  </si>
  <si>
    <t>Amperes</t>
  </si>
  <si>
    <t>Ravens</t>
  </si>
  <si>
    <t>Corax</t>
  </si>
  <si>
    <t>All Knights</t>
  </si>
  <si>
    <t>Sabercats</t>
  </si>
  <si>
    <t>MONARCH-E</t>
  </si>
  <si>
    <t>JudgeMent Call Robotics</t>
  </si>
  <si>
    <t>LAUNCH TEAM</t>
  </si>
  <si>
    <t>Degrees of Freedom</t>
  </si>
  <si>
    <t>AZTECH Robotics</t>
  </si>
  <si>
    <t>Python Robotics</t>
  </si>
  <si>
    <t>Ghost</t>
  </si>
  <si>
    <t>Green Valley Robotics</t>
  </si>
  <si>
    <t>PAIR OF DICE ROBOTICS</t>
  </si>
  <si>
    <t>Phantom Circuits</t>
  </si>
  <si>
    <t>APEX Robotics</t>
  </si>
  <si>
    <t>Cyber Vipers</t>
  </si>
  <si>
    <t>COLTech Robotics</t>
  </si>
  <si>
    <t>A.W.E.</t>
  </si>
  <si>
    <t>Sidereal Envoy</t>
  </si>
  <si>
    <t>Wolves Robotics (Basic HS)</t>
  </si>
  <si>
    <t>IgKnighted</t>
  </si>
  <si>
    <t>Knights of the Lab Table</t>
  </si>
  <si>
    <t>Phantom Talons</t>
  </si>
  <si>
    <t>ARC</t>
  </si>
  <si>
    <t>The Dragon Hunters</t>
  </si>
  <si>
    <t>Crash Test Dummies</t>
  </si>
  <si>
    <t>Team LOVE</t>
  </si>
  <si>
    <t>Tie Dye Samurai</t>
  </si>
  <si>
    <t>The Deadbolts</t>
  </si>
  <si>
    <t>Desert Storm</t>
  </si>
  <si>
    <t>Team Epsilon</t>
  </si>
  <si>
    <t>RoboRabbits</t>
  </si>
  <si>
    <t>Formosa Robotics</t>
  </si>
  <si>
    <t xml:space="preserve">Auto </t>
  </si>
  <si>
    <t xml:space="preserve">tele </t>
  </si>
  <si>
    <t>shoot %</t>
  </si>
  <si>
    <t>in hub %</t>
  </si>
  <si>
    <t>ground pickup %</t>
  </si>
  <si>
    <t>HP pickup %</t>
  </si>
  <si>
    <t>Deopt pickup %</t>
  </si>
  <si>
    <t>defence</t>
  </si>
  <si>
    <t>died/ tipped</t>
  </si>
  <si>
    <t>driver skill</t>
  </si>
  <si>
    <t>wedstrijden</t>
  </si>
  <si>
    <t>breedte en lengte</t>
  </si>
  <si>
    <t xml:space="preserve"> avg cycle time</t>
  </si>
  <si>
    <t>onder balk</t>
  </si>
  <si>
    <t>feed from middle</t>
  </si>
  <si>
    <t>Auto align</t>
  </si>
  <si>
    <t>Hoe schieten</t>
  </si>
  <si>
    <t>Foto</t>
  </si>
  <si>
    <t>feed middle</t>
  </si>
  <si>
    <t>auto align</t>
  </si>
  <si>
    <t>Comments Pit</t>
  </si>
  <si>
    <t>info</t>
  </si>
  <si>
    <t>comments/doubts</t>
  </si>
  <si>
    <t>auto start P</t>
  </si>
  <si>
    <t xml:space="preserve">Auto start positie </t>
  </si>
  <si>
    <t>width and lenght</t>
  </si>
  <si>
    <t>Auto start position</t>
  </si>
  <si>
    <t xml:space="preserve">under trench </t>
  </si>
  <si>
    <t>shooting</t>
  </si>
  <si>
    <t xml:space="preserve">Team name </t>
  </si>
  <si>
    <t>Procent hit</t>
  </si>
  <si>
    <t>amount</t>
  </si>
  <si>
    <t>Start where</t>
  </si>
  <si>
    <t>Pick up</t>
  </si>
  <si>
    <t>most</t>
  </si>
  <si>
    <t>under trench</t>
  </si>
  <si>
    <t>start position</t>
  </si>
  <si>
    <t>general</t>
  </si>
  <si>
    <t>shoot accuration</t>
  </si>
  <si>
    <t>/56</t>
  </si>
  <si>
    <t>Balls</t>
  </si>
  <si>
    <t>+1</t>
  </si>
  <si>
    <t>+3</t>
  </si>
  <si>
    <t>+5</t>
  </si>
  <si>
    <t>avg balls per match</t>
  </si>
  <si>
    <t>som per match</t>
  </si>
  <si>
    <t>avg balls</t>
  </si>
  <si>
    <t>starting position</t>
  </si>
  <si>
    <t>avg balls2</t>
  </si>
  <si>
    <t>gem</t>
  </si>
  <si>
    <t xml:space="preserve">Gem </t>
  </si>
  <si>
    <t>no show lijst</t>
  </si>
  <si>
    <t xml:space="preserve">team </t>
  </si>
  <si>
    <t>Mil G</t>
  </si>
  <si>
    <t>Sabercat</t>
  </si>
  <si>
    <t>105 no bum bat</t>
  </si>
  <si>
    <t>24 inch unde trench</t>
  </si>
  <si>
    <t>26x27inch</t>
  </si>
  <si>
    <t>Swerve</t>
  </si>
  <si>
    <t>Climb, 8  pre loaded, l1</t>
  </si>
  <si>
    <t xml:space="preserve">L1 </t>
  </si>
  <si>
    <t>Everwhte</t>
  </si>
  <si>
    <t>true</t>
  </si>
  <si>
    <t>Both</t>
  </si>
  <si>
    <t>Col robotics</t>
  </si>
  <si>
    <t>29.5</t>
  </si>
  <si>
    <t xml:space="preserve">Top, to depot, </t>
  </si>
  <si>
    <t>Bottom, outpost to human player</t>
  </si>
  <si>
    <t>No</t>
  </si>
  <si>
    <t>Ground and human player</t>
  </si>
  <si>
    <t>false</t>
  </si>
  <si>
    <t>West coast products, design, t 2 lanes, 2 rollers, 2 main lanes, 2 motor powered, pid problems until testing to trouble shoot. Camera»s.</t>
  </si>
  <si>
    <t>Waterford robotics</t>
  </si>
  <si>
    <t>26,28.5</t>
  </si>
  <si>
    <t>Tank</t>
  </si>
  <si>
    <t>2 versions, shoot 8 balls pre loaf and collect human player</t>
  </si>
  <si>
    <t>Depot and field</t>
  </si>
  <si>
    <t>Stationary</t>
  </si>
  <si>
    <t xml:space="preserve">50 feul, 4 roler for spindex, into the shooter, no limelight functions, no auto aim,  lineup with the hood, 2/3 balls per second. </t>
  </si>
  <si>
    <t>Mil g</t>
  </si>
  <si>
    <t>21.5</t>
  </si>
  <si>
    <t>30-40</t>
  </si>
  <si>
    <t>Anywhere</t>
  </si>
  <si>
    <t>Take for hopper, index the balls, limelight dir autoalign. Geared together motors 2,</t>
  </si>
  <si>
    <t>Pair of dice</t>
  </si>
  <si>
    <t>40-50</t>
  </si>
  <si>
    <t>All sides</t>
  </si>
  <si>
    <t>3 limelights, alignment , one of sides.</t>
  </si>
  <si>
    <t>25.5</t>
  </si>
  <si>
    <t>Robokrew</t>
  </si>
  <si>
    <t>21 inch</t>
  </si>
  <si>
    <t xml:space="preserve">Score preload , move to neuttral zone </t>
  </si>
  <si>
    <t>Smack down intake, foxed shooter, no climb. Looks like a fish, since they are a fish</t>
  </si>
  <si>
    <t>2 version, middle and shoot Middle , shoot back and climb</t>
  </si>
  <si>
    <t>opmerking</t>
  </si>
  <si>
    <t>Jippe</t>
  </si>
  <si>
    <t>O</t>
  </si>
  <si>
    <t>No attempt</t>
  </si>
  <si>
    <t>Intake didn't work after auto, robot didn't lose connection but had trouble driving. Maybe CAN or swerve issue</t>
  </si>
  <si>
    <t>Anita Karki</t>
  </si>
  <si>
    <t>D</t>
  </si>
  <si>
    <t>robot got stuck, robot shoot the fuell but not in hub</t>
  </si>
  <si>
    <t>H</t>
  </si>
  <si>
    <t>oke</t>
  </si>
  <si>
    <t>Shooter did not work well</t>
  </si>
  <si>
    <t>Maud m</t>
  </si>
  <si>
    <t>Maud M</t>
  </si>
  <si>
    <t>Twice stuck on bump</t>
  </si>
  <si>
    <t>Stood still end of match</t>
  </si>
  <si>
    <t>677Nick</t>
  </si>
  <si>
    <t>Got stuck on bump, got help getting off</t>
  </si>
  <si>
    <t>LeoV</t>
  </si>
  <si>
    <t>Slow start shooting</t>
  </si>
  <si>
    <t>deden niet intaken, schoten niet op doel, hebben klimber maar deden niet klimmen</t>
  </si>
  <si>
    <t>Joep</t>
  </si>
  <si>
    <t>Intake didn't work.</t>
  </si>
  <si>
    <t>Fast and quick shoots anlot of balls to the alliance zone</t>
  </si>
  <si>
    <t>TimoS</t>
  </si>
  <si>
    <t>Incos. Intake, shooter missed many</t>
  </si>
  <si>
    <t>Maud R</t>
  </si>
  <si>
    <t>10114 phantom talows</t>
  </si>
  <si>
    <t>-</t>
  </si>
  <si>
    <t>Level 1 climb</t>
  </si>
  <si>
    <t>Driving</t>
  </si>
  <si>
    <t>Broncobots</t>
  </si>
  <si>
    <t>Middle shoot balls goes human player</t>
  </si>
  <si>
    <t>Overall</t>
  </si>
  <si>
    <t>Launchteam</t>
  </si>
  <si>
    <t>Several ones shoot preload by all of them</t>
  </si>
  <si>
    <t xml:space="preserve">From the ground </t>
  </si>
  <si>
    <t>Dragon Hunters</t>
  </si>
  <si>
    <t>Deptt</t>
  </si>
  <si>
    <t>Le</t>
  </si>
  <si>
    <t>Triple shooter, extendable intake</t>
  </si>
  <si>
    <t>Shoot preload</t>
  </si>
  <si>
    <t>Ground and autpost</t>
  </si>
  <si>
    <t>Adjustable hood, triple shooter</t>
  </si>
  <si>
    <t>fslse</t>
  </si>
  <si>
    <t>Incos. Intake, shooter jammer or something</t>
  </si>
  <si>
    <t>Couldn't get balls through the shooter</t>
  </si>
  <si>
    <t>Beached on ramp for 1 min.</t>
  </si>
  <si>
    <t>Yannis</t>
  </si>
  <si>
    <t>flse</t>
  </si>
  <si>
    <t>E4</t>
  </si>
  <si>
    <t>Nick</t>
  </si>
  <si>
    <t>Nothing happened, could drive though</t>
  </si>
  <si>
    <t>Slow in transition between collect and shoot</t>
  </si>
  <si>
    <t>Broke and stranded, Slow shooter</t>
  </si>
  <si>
    <t>Slow shooting and slow positioning during telop</t>
  </si>
  <si>
    <t xml:space="preserve">Cancelled auto due to collision with other robot. </t>
  </si>
  <si>
    <t xml:space="preserve">Was mainly pushing fuel around the field. Started collecting fuel during the last 20 sec of the game. </t>
  </si>
  <si>
    <t>Slow in precise shooting slow output took his time bad aming</t>
  </si>
  <si>
    <t>Desert storm</t>
  </si>
  <si>
    <t>With preload to outpost and then shoot that</t>
  </si>
  <si>
    <t>Ground, outpost</t>
  </si>
  <si>
    <t xml:space="preserve">Poor shooter got stuck on balls </t>
  </si>
  <si>
    <t xml:space="preserve">Fast and accurate  shooting </t>
  </si>
  <si>
    <t>Climber got stuck L1 after auto. Could release itself after 10 sec</t>
  </si>
  <si>
    <t>Shoots way to hard</t>
  </si>
  <si>
    <t xml:space="preserve">Poor shooting </t>
  </si>
  <si>
    <t>scheduled_time</t>
  </si>
  <si>
    <t>% in hub</t>
  </si>
  <si>
    <t xml:space="preserve">maud </t>
  </si>
  <si>
    <t>anita</t>
  </si>
  <si>
    <t>jippe</t>
  </si>
  <si>
    <t>timo</t>
  </si>
  <si>
    <t>joep</t>
  </si>
  <si>
    <t>milan</t>
  </si>
  <si>
    <t>leo</t>
  </si>
  <si>
    <t>teams</t>
  </si>
  <si>
    <t>aantal</t>
  </si>
  <si>
    <t>RoboRabits</t>
  </si>
  <si>
    <t>27,5,27,5</t>
  </si>
  <si>
    <t>Ground and outpost</t>
  </si>
  <si>
    <t>Double shooter</t>
  </si>
  <si>
    <t>Team Love</t>
  </si>
  <si>
    <t>Only human player</t>
  </si>
  <si>
    <t>Intake is being build, double shooter, geen auto</t>
  </si>
  <si>
    <t>Crash test dummies</t>
  </si>
  <si>
    <t>Mecanum</t>
  </si>
  <si>
    <t>Only ground</t>
  </si>
  <si>
    <t>Intake fully 3d printer</t>
  </si>
  <si>
    <t>Westwood robotics</t>
  </si>
  <si>
    <t>Firebird robotics</t>
  </si>
  <si>
    <t>20+</t>
  </si>
  <si>
    <t>No yet</t>
  </si>
  <si>
    <t xml:space="preserve">Swerve, afjustabel shooter, roller tank, intake, movable intake, feeder to shooter, camera behind intake driver camera for intake. </t>
  </si>
  <si>
    <t>Aztech</t>
  </si>
  <si>
    <t>Shoot preload, neutral, intake and shoot</t>
  </si>
  <si>
    <t>Neutral, to aligens</t>
  </si>
  <si>
    <t>High rollers</t>
  </si>
  <si>
    <t>Swipes, 25- 40 balls, shooting</t>
  </si>
  <si>
    <t>Aligens and neutral</t>
  </si>
  <si>
    <t xml:space="preserve">Issues, trail and error, seperate turrets, 1 gets jammed. Climbing is special thing. </t>
  </si>
  <si>
    <t>DOF</t>
  </si>
  <si>
    <t>Everywhere</t>
  </si>
  <si>
    <t xml:space="preserve">41 balls, 3 ball fixed shooter, over the tamp, infront of the hub. Horizontal seperated from shooting, one motor fail, no shooter. </t>
  </si>
  <si>
    <t>Bulldogs</t>
  </si>
  <si>
    <t>Pre load empty, over bump, intake more</t>
  </si>
  <si>
    <t xml:space="preserve">Both, able for defence </t>
  </si>
  <si>
    <t xml:space="preserve">Pneumatics  speed gearboxes, motorized, steel fly wheel, intake kit box, dropped the shooter, </t>
  </si>
  <si>
    <t>Sidereal envoy</t>
  </si>
  <si>
    <t>27.5,25.9</t>
  </si>
  <si>
    <t>Neutral, collect en shoot and depot and shoot</t>
  </si>
  <si>
    <t>Index shooter intake, adjust angle, indepentand.</t>
  </si>
  <si>
    <t>Intake is very slow</t>
  </si>
  <si>
    <t xml:space="preserve">A lot of shots go to far </t>
  </si>
  <si>
    <t>Fast, brings balls from Middle before picking up. Efficient for team</t>
  </si>
  <si>
    <t>Anita karki</t>
  </si>
  <si>
    <t>doen goed mee</t>
  </si>
  <si>
    <t>AA</t>
  </si>
  <si>
    <t>BW</t>
  </si>
  <si>
    <t>GD</t>
  </si>
  <si>
    <t>Died right after auto</t>
  </si>
  <si>
    <t>Looks like ilthenintake broke and the they did not shoot</t>
  </si>
  <si>
    <t>mainly pushed fuel around</t>
  </si>
  <si>
    <t>Fast, gets balls from outposts during auto, missies a lot</t>
  </si>
  <si>
    <t>JV</t>
  </si>
  <si>
    <t>Only moved balls to the alliance zone. Intake broke down</t>
  </si>
  <si>
    <t>244 l</t>
  </si>
  <si>
    <t>Great passing, fast handeling, can go over and under, shoots fast</t>
  </si>
  <si>
    <t>Got stuck on fuel, and didn»t do much during the game</t>
  </si>
  <si>
    <t>8717 j</t>
  </si>
  <si>
    <t>288 n</t>
  </si>
  <si>
    <t>2486 m</t>
  </si>
  <si>
    <t>legenda in match  schema</t>
  </si>
  <si>
    <t>rood</t>
  </si>
  <si>
    <t xml:space="preserve">groen </t>
  </si>
  <si>
    <t>geel</t>
  </si>
  <si>
    <t>moest wel niet gedaan</t>
  </si>
  <si>
    <t>gedaan</t>
  </si>
  <si>
    <t xml:space="preserve">moet nog </t>
  </si>
  <si>
    <t>6352 j</t>
  </si>
  <si>
    <t>Got stuck on top of the balls</t>
  </si>
  <si>
    <t>Very inacuarate, messy shooting, no power. Collected slow</t>
  </si>
  <si>
    <t>1165 n</t>
  </si>
  <si>
    <t>3944 l</t>
  </si>
  <si>
    <t>9534 ma</t>
  </si>
  <si>
    <t>6413 mi</t>
  </si>
  <si>
    <t>Maud</t>
  </si>
  <si>
    <t>Stood still and intake did not work</t>
  </si>
  <si>
    <t>11176 ji</t>
  </si>
  <si>
    <t>Only brought back balls pushing them</t>
  </si>
  <si>
    <t>8012 jo</t>
  </si>
  <si>
    <t>11100 mi</t>
  </si>
  <si>
    <t>10980 ni</t>
  </si>
  <si>
    <t xml:space="preserve">Not moving when enabled </t>
  </si>
  <si>
    <t>Had camera issues, turret aimed opposite side of hub, even after rotating the robot</t>
  </si>
  <si>
    <t>11479 ti</t>
  </si>
  <si>
    <t>9777 jo</t>
  </si>
  <si>
    <t>9501 mi</t>
  </si>
  <si>
    <t>wit</t>
  </si>
  <si>
    <t>niet belangrijk voor extra scouten en niet gescout</t>
  </si>
  <si>
    <t>Came back from death</t>
  </si>
  <si>
    <t>Battery problems last 30 sec (Low volt.)</t>
  </si>
  <si>
    <t>klopt?</t>
  </si>
  <si>
    <t>?</t>
  </si>
  <si>
    <t>Hopper broke</t>
  </si>
  <si>
    <t>3245 jo</t>
  </si>
  <si>
    <t>1410 ma</t>
  </si>
  <si>
    <t xml:space="preserve">Balls to Outpost pushing </t>
  </si>
  <si>
    <t>Slow did a little bit of defence in the alliance zone</t>
  </si>
  <si>
    <t>Good movment</t>
  </si>
  <si>
    <t>2478 l</t>
  </si>
  <si>
    <t>9059 jo</t>
  </si>
  <si>
    <t>3424 ma</t>
  </si>
  <si>
    <t>6833 mi</t>
  </si>
  <si>
    <t>9091 ni</t>
  </si>
  <si>
    <t>Got 3 times stuck on bump</t>
  </si>
  <si>
    <t>6413 a</t>
  </si>
  <si>
    <t>9704 le</t>
  </si>
  <si>
    <t>996 ma</t>
  </si>
  <si>
    <t>10905 ni</t>
  </si>
  <si>
    <t>Juat a little defence</t>
  </si>
  <si>
    <t>shooter leek niet te werken</t>
  </si>
  <si>
    <t xml:space="preserve">Died quick </t>
  </si>
  <si>
    <t>11176 an</t>
  </si>
  <si>
    <t>244 ni</t>
  </si>
  <si>
    <t>6479 l</t>
  </si>
  <si>
    <t>288 m</t>
  </si>
  <si>
    <t>991 j</t>
  </si>
  <si>
    <t>Fairly good</t>
  </si>
  <si>
    <t>Awfull</t>
  </si>
  <si>
    <t>not good fueltank, pushing to outpost</t>
  </si>
  <si>
    <t>1165 a</t>
  </si>
  <si>
    <t xml:space="preserve">8717 l </t>
  </si>
  <si>
    <t>2122 ji</t>
  </si>
  <si>
    <t>Middle- shoot preload, Trench- picks up balls and shoots</t>
  </si>
  <si>
    <t xml:space="preserve">Shooting infront of hub, Sweep from middle and shoot, </t>
  </si>
  <si>
    <t>deden dansjes en defence in eigen zone</t>
  </si>
  <si>
    <t>2080 ji</t>
  </si>
  <si>
    <t>7426 l</t>
  </si>
  <si>
    <t>8012 a</t>
  </si>
  <si>
    <t>kijken wie penalties had</t>
  </si>
  <si>
    <t xml:space="preserve">Needs pickup to shoot </t>
  </si>
  <si>
    <t>deden vrij weinig</t>
  </si>
  <si>
    <t>7333 ji</t>
  </si>
  <si>
    <t>3216 ti</t>
  </si>
  <si>
    <t>10933 l</t>
  </si>
  <si>
    <t>6352 mi</t>
  </si>
  <si>
    <t>60 jo</t>
  </si>
  <si>
    <t xml:space="preserve">Shoot  </t>
  </si>
  <si>
    <t>Defensive no shooting</t>
  </si>
  <si>
    <t>Milan</t>
  </si>
  <si>
    <t xml:space="preserve">9777 ti </t>
  </si>
  <si>
    <t>Got stuck on ramp but recovered</t>
  </si>
  <si>
    <t>3009 jo</t>
  </si>
  <si>
    <t>2840 ti</t>
  </si>
  <si>
    <t>7425 le</t>
  </si>
  <si>
    <t>70/80 pounds</t>
  </si>
  <si>
    <t>28 inch</t>
  </si>
  <si>
    <t>27x27 inch</t>
  </si>
  <si>
    <t>Left or right, just shoot</t>
  </si>
  <si>
    <t>None</t>
  </si>
  <si>
    <t>Nope</t>
  </si>
  <si>
    <t>nope?????</t>
  </si>
  <si>
    <t>Robodawgs 3D</t>
  </si>
  <si>
    <t>94 pounds</t>
  </si>
  <si>
    <t>30 inch</t>
  </si>
  <si>
    <t>None during auto ??????</t>
  </si>
  <si>
    <t>Paradise</t>
  </si>
  <si>
    <t>104 pounds</t>
  </si>
  <si>
    <t>20.5 inch</t>
  </si>
  <si>
    <t>24.5x29.5</t>
  </si>
  <si>
    <t>No cycle test, prefer trench</t>
  </si>
  <si>
    <t>Shooter problems</t>
  </si>
  <si>
    <t>Lex vG</t>
  </si>
  <si>
    <t>Auto erg inaccuraat, schiet soms te hard verschilt per cycle, verspilt tijd tijdens inactive hub</t>
  </si>
  <si>
    <t>Looked like swerve malfunctioned</t>
  </si>
  <si>
    <t>Driver had great control and was even able climb the latter</t>
  </si>
  <si>
    <t>Defended and pushed fuel to the other side.</t>
  </si>
  <si>
    <t>Mainly focused on getting the balls to their side but broke in the middle of the match.</t>
  </si>
  <si>
    <t xml:space="preserve">Shoot 10 balls stood still rest of the match </t>
  </si>
  <si>
    <t>Fast and accurate</t>
  </si>
  <si>
    <t>Focused on shooting mostly and can collect a large quantity of balls.</t>
  </si>
  <si>
    <t>Supported human players</t>
  </si>
  <si>
    <t>Slower all around, inactive at start of teleop</t>
  </si>
  <si>
    <t>During auto weird thing with intake. Bumper fell off robot and died</t>
  </si>
  <si>
    <t>No autonomous, didn't shoot, only defense, then died.</t>
  </si>
  <si>
    <t xml:space="preserve">Slow in all aspects </t>
  </si>
  <si>
    <t>Overall a good robot showing capabilities to score high amoints of points fast but it died a but early on.</t>
  </si>
  <si>
    <t xml:space="preserve">  Joep</t>
  </si>
  <si>
    <t>Stuck on bumper</t>
  </si>
  <si>
    <t>Filled up the outpost</t>
  </si>
  <si>
    <t>They were stuck on fuel, but they got freed.</t>
  </si>
  <si>
    <t>Mostly stayed their own side scoring points.</t>
  </si>
  <si>
    <t>Picked up and gave it to ally side</t>
  </si>
  <si>
    <t>Intake didn't work after a while</t>
  </si>
  <si>
    <t>Slow collected a lot of balles</t>
  </si>
  <si>
    <t>Very hard to count balls, may be inaccurate.</t>
  </si>
  <si>
    <t>Bumper bot that only did defense once</t>
  </si>
  <si>
    <t>Over all most of the robot is pretty average.</t>
  </si>
  <si>
    <t>Turbotics</t>
  </si>
  <si>
    <t xml:space="preserve">97.3pounds </t>
  </si>
  <si>
    <t>24.75 inch</t>
  </si>
  <si>
    <t>No auto, starts wherever</t>
  </si>
  <si>
    <t>Kinda died, had trouble moving</t>
  </si>
  <si>
    <t>Got stuck on balls when going over ramp</t>
  </si>
  <si>
    <t>Stuck on bump at the end</t>
  </si>
  <si>
    <t>Really good all around, auto does shoot and climbs.</t>
  </si>
  <si>
    <t>Over all stayed on defense and ball collectio shooting outside of teleop</t>
  </si>
  <si>
    <t xml:space="preserve">LeoV </t>
  </si>
  <si>
    <t>Intake broke</t>
  </si>
  <si>
    <t>Only did support and defense, not being able to pick up. Decent to good at both</t>
  </si>
  <si>
    <t>Missed everything</t>
  </si>
  <si>
    <t>Was misalligned turret slow moving</t>
  </si>
  <si>
    <t>Intake didn't work well</t>
  </si>
  <si>
    <t>Calm all around, can do better didn»t do bad</t>
  </si>
  <si>
    <t>Stood still most of the time</t>
  </si>
  <si>
    <t>Hard defended, shooter to soft</t>
  </si>
  <si>
    <t>Good supporter</t>
  </si>
  <si>
    <t>No participation in the games</t>
  </si>
  <si>
    <t>Mainly defense this match, mainly pushing the fuels towards human players</t>
  </si>
  <si>
    <t xml:space="preserve">Made good shots just too infrequent and no support </t>
  </si>
  <si>
    <t>Just scatter shots</t>
  </si>
  <si>
    <t xml:space="preserve">Took a long time to alliance to hub for shooting </t>
  </si>
  <si>
    <t>Passes most balls to the outpost</t>
  </si>
  <si>
    <t>GDp</t>
  </si>
  <si>
    <t>Shot fast</t>
  </si>
  <si>
    <t>Mostly fed balls to team but did an amazing job at it.</t>
  </si>
  <si>
    <t xml:space="preserve">Little support and shot  hub was off but good aside from those </t>
  </si>
  <si>
    <t xml:space="preserve">Maud </t>
  </si>
  <si>
    <t>Not full potential of hopper</t>
  </si>
  <si>
    <t>;Nick</t>
  </si>
  <si>
    <t>Stoppen for a short while in the Middle of the game</t>
  </si>
  <si>
    <t>Didn»t do anything other than drive</t>
  </si>
  <si>
    <t>Struggled with movement over all and aim was off most of the time.</t>
  </si>
  <si>
    <t>Great shooting, bit too hasty</t>
  </si>
  <si>
    <t xml:space="preserve">Dead for big time so would»ve done better </t>
  </si>
  <si>
    <t>There was just technical difficulties the whole and it appeared they couldn't shoot.</t>
  </si>
  <si>
    <t xml:space="preserve">Caused multiple collisions </t>
  </si>
  <si>
    <t>deden defence, kregen gele kaart</t>
  </si>
  <si>
    <t>hoevaakgescout</t>
  </si>
  <si>
    <t xml:space="preserve">Was just roaming the field and feeding team ball badly </t>
  </si>
  <si>
    <t xml:space="preserve">Great all around including support </t>
  </si>
  <si>
    <t>deden goed defence toen vielen ze uit</t>
  </si>
  <si>
    <t>Did nothing</t>
  </si>
  <si>
    <t xml:space="preserve">Decent everywhere, good support and did some defending </t>
  </si>
  <si>
    <t>Was all over the and kept missing balls.</t>
  </si>
  <si>
    <t>No ball land</t>
  </si>
  <si>
    <t>vaak schieten ze raak af en toe niet is niet bij te houden</t>
  </si>
  <si>
    <t>Had good support an could»ve done good just didn»t do much of anything</t>
  </si>
  <si>
    <t>Mai ly focused on shooting and did a great job with great mobility and aim.</t>
  </si>
  <si>
    <t>1 swerve module not working</t>
  </si>
  <si>
    <t>Can not store much but is quick in cycles.</t>
  </si>
  <si>
    <t>Intake didnt deploy, didnt defend</t>
  </si>
  <si>
    <t>No support but really good shooter</t>
  </si>
  <si>
    <t>Very resourceful</t>
  </si>
  <si>
    <t>Mostly fed team balls and did a good job at it but they got stuck on the ramp quite often.</t>
  </si>
  <si>
    <t>als er niets staat geen nul neer zetten</t>
  </si>
  <si>
    <t xml:space="preserve">Decent robot just slow, no support nor defending </t>
  </si>
  <si>
    <t>Mainly focused on shooting and stayed on their side for the most part.</t>
  </si>
  <si>
    <t xml:space="preserve">Efficiency </t>
  </si>
  <si>
    <t>Cant pick up butt sdnt,</t>
  </si>
  <si>
    <t>Robot seems like it's missing some parts, only defended.</t>
  </si>
  <si>
    <t>Was pretty good and collect and scoring but not not much else</t>
  </si>
  <si>
    <t>Focused on feeding balls to team</t>
  </si>
  <si>
    <t>Clumsy driving</t>
  </si>
  <si>
    <t>Could»ve done better if not stuck for a time but it had time to do stuff an was slow about it</t>
  </si>
  <si>
    <t xml:space="preserve">Mostly did all non shooting sales of play and did a great at all of them </t>
  </si>
  <si>
    <t>All around good bot and teammates, just no defending</t>
  </si>
  <si>
    <t>Stuck all of the game</t>
  </si>
  <si>
    <t>Coconuts</t>
  </si>
  <si>
    <t>111.3 pounds</t>
  </si>
  <si>
    <t>21.75 inch</t>
  </si>
  <si>
    <t>50/60</t>
  </si>
  <si>
    <t>Goes to Middle to outpost</t>
  </si>
  <si>
    <t xml:space="preserve">Ground and outposts </t>
  </si>
  <si>
    <t>The kraken</t>
  </si>
  <si>
    <t>115 pounds</t>
  </si>
  <si>
    <t>21 - 22.2 inch</t>
  </si>
  <si>
    <t>Can do hub and bump</t>
  </si>
  <si>
    <t>Ground, doesnt take from outposts but can</t>
  </si>
  <si>
    <t>111 pounds</t>
  </si>
  <si>
    <t>29.5 inch</t>
  </si>
  <si>
    <t>21 x 31.5 inch</t>
  </si>
  <si>
    <t>Shoots</t>
  </si>
  <si>
    <t>Middle</t>
  </si>
  <si>
    <t>Can drive good with speed just cant make shoots</t>
  </si>
  <si>
    <t>Formosa</t>
  </si>
  <si>
    <t>98 pounds</t>
  </si>
  <si>
    <t>No measure</t>
  </si>
  <si>
    <t>67 cm</t>
  </si>
  <si>
    <t>Left or right, just shoot Goes to Middle and back to shoot, goes back to Middle to feed</t>
  </si>
  <si>
    <t>no</t>
  </si>
  <si>
    <t>Toe due samurai</t>
  </si>
  <si>
    <t>114.4 pounds</t>
  </si>
  <si>
    <t>No measure, close to max</t>
  </si>
  <si>
    <t>Starts anywhere, no auto</t>
  </si>
  <si>
    <t>Mostly plays defence</t>
  </si>
  <si>
    <t xml:space="preserve">Absolute flawless offense </t>
  </si>
  <si>
    <t>Slow</t>
  </si>
  <si>
    <t>Lots of balls</t>
  </si>
  <si>
    <t>Couldn»t pick up so did great defense and decent support, just could»ve been faster and more active</t>
  </si>
  <si>
    <t>Prioritized feeding human player</t>
  </si>
  <si>
    <t>Mainly worked on feeding team balls</t>
  </si>
  <si>
    <t>Calm and poor pickup/carry</t>
  </si>
  <si>
    <t>Only does at end game</t>
  </si>
  <si>
    <t>Got stuck often</t>
  </si>
  <si>
    <t>nu scouten</t>
  </si>
  <si>
    <t>Intake doesn't work, pushed balls to own field. Didn't do anything during endgame</t>
  </si>
  <si>
    <t>Mainly focused on ball feeding</t>
  </si>
  <si>
    <t xml:space="preserve">No scoop, supported human which humans were good. No defense </t>
  </si>
  <si>
    <t>Wanky intake</t>
  </si>
  <si>
    <t>Was speedy with good mechanics so could»ve done good if it hadn»t gotten stuck</t>
  </si>
  <si>
    <t xml:space="preserve"> intake broken, not feeding outpost</t>
  </si>
  <si>
    <t>Was trying to ball feed but got stuck most of the time.</t>
  </si>
  <si>
    <t>Small fuel tank</t>
  </si>
  <si>
    <t>Stuck on bump</t>
  </si>
  <si>
    <t>Didn»t do much and stop midway</t>
  </si>
  <si>
    <t>Faulty intake slow start</t>
  </si>
  <si>
    <t>Faulty shooter no active participation in the game</t>
  </si>
  <si>
    <t>Not very well job of ball fedding</t>
  </si>
  <si>
    <t xml:space="preserve">Can»t pick up so was really good at supporting bots an humans and defending </t>
  </si>
  <si>
    <t>Turret acting up</t>
  </si>
  <si>
    <t xml:space="preserve">Good speed and all around good, no defense nor support </t>
  </si>
  <si>
    <t>nick</t>
  </si>
  <si>
    <t>Feeda outpost, helped stuk teammeat</t>
  </si>
  <si>
    <t>Great auto. Would»ve done great if not for losing connection. Good support for the time it had</t>
  </si>
  <si>
    <t>Feed oitpost</t>
  </si>
  <si>
    <t>Great support for bots and humans, good scooper and speedy</t>
  </si>
  <si>
    <t>Launch tean</t>
  </si>
  <si>
    <t>114 pounds</t>
  </si>
  <si>
    <t>30inch</t>
  </si>
  <si>
    <t>30x25 inch</t>
  </si>
  <si>
    <t>60-80</t>
  </si>
  <si>
    <t>Bump either side</t>
  </si>
  <si>
    <t>Lvl 1</t>
  </si>
  <si>
    <t>Ground pickup</t>
  </si>
  <si>
    <t>replay</t>
  </si>
  <si>
    <t xml:space="preserve">Bad carry, did support just poorly, slow, no defense </t>
  </si>
  <si>
    <t>Carried team</t>
  </si>
  <si>
    <t>Food robot players need better aim seemed abit indecisive during non scoring segments.</t>
  </si>
  <si>
    <t xml:space="preserve">Fast with good support and defense, got a foul while interacting with an enemy </t>
  </si>
  <si>
    <t>Bit slow, also pushing balls</t>
  </si>
  <si>
    <t>Switched between ball feeding and offense.</t>
  </si>
  <si>
    <t>Mainly stuck to their side of field, did do some support at end. Bad auto good shooter</t>
  </si>
  <si>
    <t>Intake broke off</t>
  </si>
  <si>
    <t xml:space="preserve">Slow with aligning </t>
  </si>
  <si>
    <t>Decent at everything and just calmer</t>
  </si>
  <si>
    <t>Got stuck on balls once, defended</t>
  </si>
  <si>
    <t>AP</t>
  </si>
  <si>
    <t>Didn't shoot at all</t>
  </si>
  <si>
    <t>Resourceful</t>
  </si>
  <si>
    <t>Bumper bot, great defense in which they did majority of time. Good support. Was still close to the start of the end</t>
  </si>
  <si>
    <t>yannis</t>
  </si>
  <si>
    <t>Stopped moving</t>
  </si>
  <si>
    <t>Mostly just stayed on their side and tried to shoot</t>
  </si>
  <si>
    <t>Front plate broke, didn't shoot accurate afterwards</t>
  </si>
  <si>
    <t xml:space="preserve">Took long time for intake </t>
  </si>
  <si>
    <t xml:space="preserve">Poor intake but good support </t>
  </si>
  <si>
    <t>Just focused on basic offense.</t>
  </si>
  <si>
    <t>Lots of feeding by pushing balls</t>
  </si>
  <si>
    <t>Shooter malfunctioned during auto, first 15 sec of teleop it didnt work, then it kept dieing and working again in a cycle</t>
  </si>
  <si>
    <t>Didn't try svkreing was just on the side lines for the most of it doing nothing.</t>
  </si>
  <si>
    <t>Supported human player once, good carry</t>
  </si>
  <si>
    <t xml:space="preserve">blauw moet </t>
  </si>
  <si>
    <t>paars mag</t>
  </si>
  <si>
    <t>geel als laatst</t>
  </si>
  <si>
    <t>Broke their intake on the climbing structure</t>
  </si>
  <si>
    <t>Did nothing but shove fuel</t>
  </si>
  <si>
    <t>Stayed entirely on ally side, bad shooter.</t>
  </si>
  <si>
    <t>Supported by pushing fuel and defending.</t>
  </si>
  <si>
    <t>Stayed on own sude on offense also kept human players fed.</t>
  </si>
  <si>
    <t>In begin shot over the hub</t>
  </si>
  <si>
    <t>Calm and decent at everything, good carry</t>
  </si>
  <si>
    <t>Overall good</t>
  </si>
  <si>
    <t>Played a bit of defense but didn't do anything else.</t>
  </si>
  <si>
    <t>Great support to both human and bot, good defense and really speedy</t>
  </si>
  <si>
    <t>Dit nothing most of the match</t>
  </si>
  <si>
    <t>Good support, good all around</t>
  </si>
  <si>
    <t>didn't do much</t>
  </si>
  <si>
    <t>Broken hopper, did not shoot, barely gave fuel to human players.</t>
  </si>
  <si>
    <t>Just ball fed team but did crash into another member abit.</t>
  </si>
  <si>
    <t>don't know what they were doing</t>
  </si>
  <si>
    <t>Spent whole time guarding #1 player and did a great job at it.</t>
  </si>
  <si>
    <t xml:space="preserve">Focused on basic offense </t>
  </si>
  <si>
    <t>Didn»t do much but did some good support</t>
  </si>
  <si>
    <t>m</t>
  </si>
  <si>
    <t xml:space="preserve">Good bot </t>
  </si>
  <si>
    <t xml:space="preserve">Only did support but it was not beneficial </t>
  </si>
  <si>
    <t>not sure what they were doing</t>
  </si>
  <si>
    <t>Only played defence, came back a few times</t>
  </si>
  <si>
    <t>Focused on basic offense also got pushed around abit</t>
  </si>
  <si>
    <t>A2</t>
  </si>
  <si>
    <t>A1</t>
  </si>
  <si>
    <t>A3</t>
  </si>
  <si>
    <t>A4</t>
  </si>
  <si>
    <t>A5</t>
  </si>
  <si>
    <t>A6</t>
  </si>
  <si>
    <t>A7</t>
  </si>
  <si>
    <t>A8</t>
  </si>
  <si>
    <t>C</t>
  </si>
  <si>
    <t>1e</t>
  </si>
  <si>
    <t>2e</t>
  </si>
  <si>
    <t>Playoffs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</si>
  <si>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</si>
  <si>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</si>
  <si>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</si>
  <si>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</si>
  <si>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</si>
  <si>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</si>
  <si>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</si>
  <si>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</si>
  <si>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</si>
  <si>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</si>
  <si>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</si>
  <si>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</si>
  <si>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</si>
  <si>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3e</t>
  </si>
  <si>
    <t>Rood 4</t>
  </si>
  <si>
    <t>Blauw 4</t>
  </si>
  <si>
    <t>match_key</t>
  </si>
  <si>
    <t>scheduled_date</t>
  </si>
  <si>
    <t>comp_level</t>
  </si>
  <si>
    <t>set_number</t>
  </si>
  <si>
    <t>red_score</t>
  </si>
  <si>
    <t>blue_score</t>
  </si>
  <si>
    <t>2026azfg_qm1</t>
  </si>
  <si>
    <t>qm</t>
  </si>
  <si>
    <t>2026azfg_qm2</t>
  </si>
  <si>
    <t>2026azfg_qm3</t>
  </si>
  <si>
    <t>2026azfg_qm4</t>
  </si>
  <si>
    <t>2026azfg_qm5</t>
  </si>
  <si>
    <t>2026azfg_qm6</t>
  </si>
  <si>
    <t>2026azfg_qm7</t>
  </si>
  <si>
    <t>2026azfg_qm8</t>
  </si>
  <si>
    <t>2026azfg_qm9</t>
  </si>
  <si>
    <t>2026azfg_qm10</t>
  </si>
  <si>
    <t>2026azfg_qm11</t>
  </si>
  <si>
    <t>2026azfg_qm12</t>
  </si>
  <si>
    <t>2026azfg_qm13</t>
  </si>
  <si>
    <t>2026azfg_qm14</t>
  </si>
  <si>
    <t>2026azfg_qm15</t>
  </si>
  <si>
    <t>2026azfg_qm16</t>
  </si>
  <si>
    <t>2026azfg_qm17</t>
  </si>
  <si>
    <t>2026azfg_qm18</t>
  </si>
  <si>
    <t>2026azfg_qm19</t>
  </si>
  <si>
    <t>2026azfg_qm20</t>
  </si>
  <si>
    <t>2026azfg_qm21</t>
  </si>
  <si>
    <t>2026azfg_qm22</t>
  </si>
  <si>
    <t>2026azfg_qm23</t>
  </si>
  <si>
    <t>2026azfg_qm24</t>
  </si>
  <si>
    <t>2026azfg_qm25</t>
  </si>
  <si>
    <t>2026azfg_qm26</t>
  </si>
  <si>
    <t>2026azfg_qm27</t>
  </si>
  <si>
    <t>2026azfg_qm28</t>
  </si>
  <si>
    <t>2026azfg_qm29</t>
  </si>
  <si>
    <t>2026azfg_qm30</t>
  </si>
  <si>
    <t>2026azfg_qm31</t>
  </si>
  <si>
    <t>2026azfg_qm32</t>
  </si>
  <si>
    <t>2026azfg_qm33</t>
  </si>
  <si>
    <t>2026azfg_qm34</t>
  </si>
  <si>
    <t>2026azfg_qm35</t>
  </si>
  <si>
    <t>2026azfg_qm36</t>
  </si>
  <si>
    <t>2026azfg_qm37</t>
  </si>
  <si>
    <t>2026azfg_qm38</t>
  </si>
  <si>
    <t>2026azfg_qm39</t>
  </si>
  <si>
    <t>2026azfg_qm40</t>
  </si>
  <si>
    <t>2026azfg_qm41</t>
  </si>
  <si>
    <t>2026azfg_qm42</t>
  </si>
  <si>
    <t>2026azfg_qm43</t>
  </si>
  <si>
    <t>2026azfg_qm44</t>
  </si>
  <si>
    <t>2026azfg_qm45</t>
  </si>
  <si>
    <t>2026azfg_qm46</t>
  </si>
  <si>
    <t>2026azfg_qm47</t>
  </si>
  <si>
    <t>2026azfg_qm48</t>
  </si>
  <si>
    <t>2026azfg_qm49</t>
  </si>
  <si>
    <t>2026azfg_qm50</t>
  </si>
  <si>
    <t>2026azfg_qm51</t>
  </si>
  <si>
    <t>2026azfg_qm52</t>
  </si>
  <si>
    <t>2026azfg_qm53</t>
  </si>
  <si>
    <t>2026azfg_qm54</t>
  </si>
  <si>
    <t>2026azfg_qm55</t>
  </si>
  <si>
    <t>2026azfg_qm56</t>
  </si>
  <si>
    <t>2026azfg_qm57</t>
  </si>
  <si>
    <t>2026azfg_qm58</t>
  </si>
  <si>
    <t>2026azfg_qm59</t>
  </si>
  <si>
    <t>2026azfg_qm60</t>
  </si>
  <si>
    <t>2026azfg_qm61</t>
  </si>
  <si>
    <t>2026azfg_qm62</t>
  </si>
  <si>
    <t>2026azfg_qm63</t>
  </si>
  <si>
    <t>2026azfg_qm64</t>
  </si>
  <si>
    <t>2026azfg_qm65</t>
  </si>
  <si>
    <t>2026azfg_qm66</t>
  </si>
  <si>
    <t>2026azfg_qm67</t>
  </si>
  <si>
    <t>2026azfg_qm68</t>
  </si>
  <si>
    <t>2026azfg_qm69</t>
  </si>
  <si>
    <t>2026azfg_qm70</t>
  </si>
  <si>
    <t>2026azfg_qm71</t>
  </si>
  <si>
    <t>2026azfg_qm72</t>
  </si>
  <si>
    <t>2026azfg_qm73</t>
  </si>
  <si>
    <t>2026azfg_qm74</t>
  </si>
  <si>
    <t>2026azfg_qm75</t>
  </si>
  <si>
    <t>2026azfg_qm76</t>
  </si>
  <si>
    <t>2026azfg_qm77</t>
  </si>
  <si>
    <t>2026azfg_qm78</t>
  </si>
  <si>
    <t>2026azfg_qm79</t>
  </si>
  <si>
    <t>2026azfg_qm80</t>
  </si>
  <si>
    <t>2026azfg_qm81</t>
  </si>
  <si>
    <t>2026azfg_qm82</t>
  </si>
  <si>
    <t>2026azfg_qm83</t>
  </si>
  <si>
    <t>2026azfg_sf1m1</t>
  </si>
  <si>
    <t>sf</t>
  </si>
  <si>
    <t>2026azfg_sf2m1</t>
  </si>
  <si>
    <t>2026azfg_sf3m1</t>
  </si>
  <si>
    <t>2026azfg_sf4m1</t>
  </si>
  <si>
    <t>2026azfg_sf5m1</t>
  </si>
  <si>
    <t>2026azfg_sf6m1</t>
  </si>
  <si>
    <t>2026azfg_sf7m1</t>
  </si>
  <si>
    <t>2026azfg_sf8m1</t>
  </si>
  <si>
    <t>2026azfg_sf9m1</t>
  </si>
  <si>
    <t>2026azfg_sf10m1</t>
  </si>
  <si>
    <t>2026azfg_sf11m1</t>
  </si>
  <si>
    <t>2026azfg_sf12m1</t>
  </si>
  <si>
    <t>2026azfg_sf13m1</t>
  </si>
  <si>
    <t>2026azfg_f1m1</t>
  </si>
  <si>
    <t>f</t>
  </si>
  <si>
    <t>2026azfg_f1m2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</si>
</sst>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434343"/>
      <name val="Roboto"/>
    </font>
    <font>
      <sz val="12"/>
      <color theme="1"/>
      <name val="Aptos"/>
      <family val="2"/>
    </font>
    <font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8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101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78">
    <xf numFmtId="0" fontId="0" fillId="0" borderId="0" xfId="0"/>
    <xf numFmtId="0" fontId="4" fillId="0" borderId="0" xfId="0" applyFont="1" applyAlignment="1">
      <alignment vertical="center"/>
    </xf>
    <xf numFmtId="9" fontId="0" fillId="0" borderId="0" xfId="1" applyFont="1"/>
    <xf numFmtId="0" fontId="2" fillId="4" borderId="1" xfId="0" applyFont="1" applyFill="1" applyBorder="1"/>
    <xf numFmtId="0" fontId="5" fillId="4" borderId="1" xfId="0" applyFont="1" applyFill="1" applyBorder="1"/>
    <xf numFmtId="0" fontId="6" fillId="0" borderId="0" xfId="0" applyFont="1"/>
    <xf numFmtId="0" fontId="0" fillId="4" borderId="1" xfId="0" applyFill="1" applyBorder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9" fillId="4" borderId="4" xfId="0" applyFont="1" applyFill="1" applyBorder="1"/>
    <xf numFmtId="0" fontId="9" fillId="4" borderId="5" xfId="0" applyFont="1" applyFill="1" applyBorder="1"/>
    <xf numFmtId="0" fontId="9" fillId="8" borderId="5" xfId="0" applyFont="1" applyFill="1" applyBorder="1"/>
    <xf numFmtId="0" fontId="9" fillId="5" borderId="5" xfId="0" applyFont="1" applyFill="1" applyBorder="1"/>
    <xf numFmtId="0" fontId="11" fillId="0" borderId="8" xfId="0" applyFont="1" applyBorder="1"/>
    <xf numFmtId="0" fontId="0" fillId="0" borderId="1" xfId="0" applyBorder="1" applyAlignment="1">
      <alignment horizontal="left"/>
    </xf>
    <xf numFmtId="0" fontId="0" fillId="9" borderId="1" xfId="0" applyFill="1" applyBorder="1"/>
    <xf numFmtId="0" fontId="0" fillId="3" borderId="1" xfId="0" applyFill="1" applyBorder="1"/>
    <xf numFmtId="0" fontId="13" fillId="2" borderId="5" xfId="0" applyFont="1" applyFill="1" applyBorder="1"/>
    <xf numFmtId="0" fontId="13" fillId="5" borderId="5" xfId="0" applyFont="1" applyFill="1" applyBorder="1"/>
    <xf numFmtId="0" fontId="13" fillId="7" borderId="5" xfId="0" applyFont="1" applyFill="1" applyBorder="1"/>
    <xf numFmtId="0" fontId="13" fillId="4" borderId="5" xfId="0" applyFont="1" applyFill="1" applyBorder="1"/>
    <xf numFmtId="0" fontId="13" fillId="6" borderId="6" xfId="0" applyFont="1" applyFill="1" applyBorder="1"/>
    <xf numFmtId="0" fontId="13" fillId="2" borderId="4" xfId="0" applyFont="1" applyFill="1" applyBorder="1"/>
    <xf numFmtId="0" fontId="14" fillId="2" borderId="1" xfId="0" applyFont="1" applyFill="1" applyBorder="1"/>
    <xf numFmtId="0" fontId="14" fillId="5" borderId="1" xfId="0" applyFont="1" applyFill="1" applyBorder="1"/>
    <xf numFmtId="0" fontId="14" fillId="7" borderId="1" xfId="0" applyFont="1" applyFill="1" applyBorder="1"/>
    <xf numFmtId="0" fontId="14" fillId="4" borderId="1" xfId="0" applyFont="1" applyFill="1" applyBorder="1"/>
    <xf numFmtId="0" fontId="14" fillId="6" borderId="1" xfId="0" applyFont="1" applyFill="1" applyBorder="1"/>
    <xf numFmtId="0" fontId="12" fillId="15" borderId="0" xfId="0" applyFont="1" applyFill="1"/>
    <xf numFmtId="0" fontId="12" fillId="11" borderId="0" xfId="0" applyFont="1" applyFill="1"/>
    <xf numFmtId="0" fontId="0" fillId="12" borderId="0" xfId="0" applyFill="1"/>
    <xf numFmtId="0" fontId="0" fillId="14" borderId="0" xfId="0" applyFill="1"/>
    <xf numFmtId="0" fontId="12" fillId="13" borderId="0" xfId="0" applyFont="1" applyFill="1"/>
    <xf numFmtId="0" fontId="0" fillId="10" borderId="0" xfId="0" applyFill="1"/>
    <xf numFmtId="0" fontId="0" fillId="0" borderId="0" xfId="0" applyAlignment="1">
      <alignment wrapText="1"/>
    </xf>
    <xf numFmtId="0" fontId="13" fillId="6" borderId="0" xfId="0" applyFont="1" applyFill="1"/>
    <xf numFmtId="0" fontId="13" fillId="8" borderId="0" xfId="0" applyFont="1" applyFill="1"/>
    <xf numFmtId="0" fontId="13" fillId="5" borderId="0" xfId="0" applyFont="1" applyFill="1"/>
    <xf numFmtId="0" fontId="13" fillId="3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0" xfId="0" applyFont="1"/>
    <xf numFmtId="0" fontId="0" fillId="0" borderId="5" xfId="0" applyBorder="1" applyAlignment="1">
      <alignment wrapText="1"/>
    </xf>
    <xf numFmtId="0" fontId="0" fillId="7" borderId="5" xfId="0" applyFill="1" applyBorder="1"/>
    <xf numFmtId="0" fontId="0" fillId="16" borderId="10" xfId="0" applyFill="1" applyBorder="1"/>
    <xf numFmtId="0" fontId="0" fillId="16" borderId="11" xfId="0" applyFill="1" applyBorder="1"/>
    <xf numFmtId="0" fontId="0" fillId="16" borderId="1" xfId="0" applyFill="1" applyBorder="1"/>
    <xf numFmtId="0" fontId="0" fillId="16" borderId="3" xfId="0" applyFill="1" applyBorder="1"/>
    <xf numFmtId="0" fontId="6" fillId="0" borderId="1" xfId="0" applyFont="1" applyBorder="1"/>
    <xf numFmtId="0" fontId="0" fillId="5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7" borderId="1" xfId="0" applyFill="1" applyBorder="1"/>
    <xf numFmtId="9" fontId="0" fillId="8" borderId="1" xfId="1" applyFont="1" applyFill="1" applyBorder="1"/>
    <xf numFmtId="9" fontId="0" fillId="4" borderId="1" xfId="1" applyFont="1" applyFill="1" applyBorder="1"/>
    <xf numFmtId="0" fontId="0" fillId="0" borderId="1" xfId="1" applyNumberFormat="1" applyFont="1" applyBorder="1"/>
    <xf numFmtId="164" fontId="0" fillId="0" borderId="1" xfId="0" applyNumberFormat="1" applyBorder="1"/>
    <xf numFmtId="0" fontId="16" fillId="0" borderId="1" xfId="0" applyFont="1" applyBorder="1" applyAlignment="1">
      <alignment horizontal="right"/>
    </xf>
    <xf numFmtId="0" fontId="17" fillId="0" borderId="1" xfId="0" applyFont="1" applyBorder="1"/>
    <xf numFmtId="0" fontId="0" fillId="17" borderId="0" xfId="0" applyFill="1"/>
    <xf numFmtId="0" fontId="0" fillId="7" borderId="0" xfId="0" applyFill="1"/>
    <xf numFmtId="0" fontId="0" fillId="0" borderId="1" xfId="1" applyNumberFormat="1" applyFont="1" applyFill="1" applyBorder="1"/>
    <xf numFmtId="0" fontId="0" fillId="0" borderId="5" xfId="1" applyNumberFormat="1" applyFont="1" applyFill="1" applyBorder="1"/>
    <xf numFmtId="0" fontId="13" fillId="4" borderId="0" xfId="0" applyFont="1" applyFill="1"/>
    <xf numFmtId="0" fontId="10" fillId="4" borderId="4" xfId="0" applyFont="1" applyFill="1" applyBorder="1"/>
    <xf numFmtId="0" fontId="10" fillId="4" borderId="5" xfId="0" applyFont="1" applyFill="1" applyBorder="1"/>
    <xf numFmtId="0" fontId="10" fillId="8" borderId="5" xfId="0" applyFont="1" applyFill="1" applyBorder="1"/>
    <xf numFmtId="0" fontId="10" fillId="5" borderId="5" xfId="0" applyFont="1" applyFill="1" applyBorder="1"/>
    <xf numFmtId="164" fontId="0" fillId="6" borderId="1" xfId="0" applyNumberFormat="1" applyFill="1" applyBorder="1"/>
    <xf numFmtId="1" fontId="18" fillId="0" borderId="0" xfId="0" applyNumberFormat="1" applyFont="1"/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6" borderId="5" xfId="0" applyFont="1" applyFill="1" applyBorder="1"/>
    <xf numFmtId="0" fontId="10" fillId="10" borderId="3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19" fillId="2" borderId="5" xfId="0" applyFont="1" applyFill="1" applyBorder="1"/>
    <xf numFmtId="49" fontId="13" fillId="7" borderId="5" xfId="0" quotePrefix="1" applyNumberFormat="1" applyFont="1" applyFill="1" applyBorder="1"/>
    <xf numFmtId="0" fontId="20" fillId="2" borderId="1" xfId="0" applyFont="1" applyFill="1" applyBorder="1"/>
    <xf numFmtId="49" fontId="14" fillId="7" borderId="1" xfId="0" quotePrefix="1" applyNumberFormat="1" applyFont="1" applyFill="1" applyBorder="1"/>
    <xf numFmtId="0" fontId="14" fillId="6" borderId="3" xfId="0" applyFont="1" applyFill="1" applyBorder="1"/>
    <xf numFmtId="0" fontId="16" fillId="0" borderId="1" xfId="0" applyFont="1" applyBorder="1" applyAlignment="1">
      <alignment horizontal="left" vertical="center"/>
    </xf>
    <xf numFmtId="0" fontId="2" fillId="18" borderId="0" xfId="0" applyFont="1" applyFill="1"/>
    <xf numFmtId="0" fontId="13" fillId="4" borderId="0" xfId="0" applyFont="1" applyFill="1" applyAlignment="1">
      <alignment horizontal="left"/>
    </xf>
    <xf numFmtId="0" fontId="13" fillId="18" borderId="0" xfId="0" applyFont="1" applyFill="1"/>
    <xf numFmtId="0" fontId="0" fillId="16" borderId="12" xfId="0" applyFill="1" applyBorder="1"/>
    <xf numFmtId="0" fontId="0" fillId="0" borderId="12" xfId="0" applyBorder="1"/>
    <xf numFmtId="0" fontId="0" fillId="4" borderId="0" xfId="0" applyFill="1"/>
    <xf numFmtId="0" fontId="19" fillId="7" borderId="0" xfId="0" applyFont="1" applyFill="1"/>
    <xf numFmtId="0" fontId="13" fillId="2" borderId="14" xfId="0" applyFont="1" applyFill="1" applyBorder="1"/>
    <xf numFmtId="0" fontId="13" fillId="2" borderId="15" xfId="0" applyFont="1" applyFill="1" applyBorder="1"/>
    <xf numFmtId="0" fontId="19" fillId="2" borderId="15" xfId="0" applyFont="1" applyFill="1" applyBorder="1"/>
    <xf numFmtId="0" fontId="13" fillId="5" borderId="15" xfId="0" applyFont="1" applyFill="1" applyBorder="1"/>
    <xf numFmtId="0" fontId="13" fillId="7" borderId="15" xfId="0" applyFont="1" applyFill="1" applyBorder="1"/>
    <xf numFmtId="49" fontId="13" fillId="7" borderId="15" xfId="0" quotePrefix="1" applyNumberFormat="1" applyFont="1" applyFill="1" applyBorder="1"/>
    <xf numFmtId="0" fontId="13" fillId="4" borderId="15" xfId="0" applyFont="1" applyFill="1" applyBorder="1"/>
    <xf numFmtId="0" fontId="13" fillId="6" borderId="13" xfId="0" applyFont="1" applyFill="1" applyBorder="1"/>
    <xf numFmtId="0" fontId="13" fillId="6" borderId="15" xfId="0" applyFont="1" applyFill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0" fillId="0" borderId="6" xfId="0" applyBorder="1"/>
    <xf numFmtId="0" fontId="3" fillId="16" borderId="16" xfId="0" applyFont="1" applyFill="1" applyBorder="1" applyAlignment="1">
      <alignment horizontal="left" vertical="center"/>
    </xf>
    <xf numFmtId="0" fontId="3" fillId="16" borderId="12" xfId="0" applyFont="1" applyFill="1" applyBorder="1" applyAlignment="1">
      <alignment horizontal="right" vertical="center"/>
    </xf>
    <xf numFmtId="0" fontId="3" fillId="16" borderId="12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2" xfId="0" applyFont="1" applyBorder="1" applyAlignment="1">
      <alignment horizontal="right" vertical="center"/>
    </xf>
    <xf numFmtId="0" fontId="3" fillId="0" borderId="12" xfId="0" applyFont="1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16" borderId="16" xfId="0" applyFont="1" applyFill="1" applyBorder="1" applyAlignment="1">
      <alignment vertical="center"/>
    </xf>
    <xf numFmtId="0" fontId="3" fillId="16" borderId="12" xfId="0" applyFont="1" applyFill="1" applyBorder="1" applyAlignment="1">
      <alignment vertical="center"/>
    </xf>
    <xf numFmtId="18" fontId="0" fillId="0" borderId="0" xfId="0" applyNumberFormat="1"/>
    <xf numFmtId="0" fontId="0" fillId="18" borderId="0" xfId="0" applyFill="1"/>
    <xf numFmtId="0" fontId="3" fillId="0" borderId="13" xfId="0" applyFont="1" applyBorder="1" applyAlignment="1">
      <alignment vertical="center"/>
    </xf>
    <xf numFmtId="1" fontId="0" fillId="0" borderId="0" xfId="0" applyNumberFormat="1"/>
    <xf numFmtId="0" fontId="0" fillId="0" borderId="14" xfId="0" applyBorder="1"/>
    <xf numFmtId="0" fontId="3" fillId="16" borderId="13" xfId="0" applyFont="1" applyFill="1" applyBorder="1" applyAlignment="1">
      <alignment vertical="center"/>
    </xf>
    <xf numFmtId="0" fontId="0" fillId="16" borderId="0" xfId="0" applyFill="1"/>
    <xf numFmtId="0" fontId="3" fillId="16" borderId="0" xfId="0" applyFont="1" applyFill="1" applyAlignment="1">
      <alignment vertical="center"/>
    </xf>
    <xf numFmtId="1" fontId="0" fillId="16" borderId="0" xfId="0" applyNumberFormat="1" applyFill="1"/>
    <xf numFmtId="0" fontId="0" fillId="16" borderId="14" xfId="0" applyFill="1" applyBorder="1"/>
    <xf numFmtId="0" fontId="0" fillId="16" borderId="16" xfId="0" applyFill="1" applyBorder="1"/>
    <xf numFmtId="0" fontId="0" fillId="16" borderId="12" xfId="0" applyFill="1" applyBorder="1" applyAlignment="1">
      <alignment wrapText="1"/>
    </xf>
    <xf numFmtId="0" fontId="0" fillId="16" borderId="17" xfId="0" applyFill="1" applyBorder="1"/>
    <xf numFmtId="0" fontId="0" fillId="0" borderId="16" xfId="0" applyBorder="1"/>
    <xf numFmtId="0" fontId="0" fillId="0" borderId="12" xfId="0" applyBorder="1" applyAlignment="1">
      <alignment wrapText="1"/>
    </xf>
    <xf numFmtId="0" fontId="0" fillId="0" borderId="17" xfId="0" applyBorder="1"/>
    <xf numFmtId="0" fontId="0" fillId="16" borderId="12" xfId="0" applyFill="1" applyBorder="1" applyAlignment="1">
      <alignment horizontal="right"/>
    </xf>
    <xf numFmtId="0" fontId="0" fillId="16" borderId="12" xfId="0" applyFill="1" applyBorder="1" applyAlignment="1">
      <alignment horizontal="left"/>
    </xf>
    <xf numFmtId="0" fontId="0" fillId="16" borderId="12" xfId="0" applyFill="1" applyBorder="1" applyAlignment="1">
      <alignment horizontal="left" wrapText="1"/>
    </xf>
    <xf numFmtId="0" fontId="0" fillId="16" borderId="17" xfId="0" applyFill="1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wrapText="1"/>
    </xf>
    <xf numFmtId="0" fontId="0" fillId="0" borderId="17" xfId="0" applyBorder="1" applyAlignment="1">
      <alignment horizontal="right"/>
    </xf>
    <xf numFmtId="0" fontId="15" fillId="0" borderId="12" xfId="0" applyFont="1" applyBorder="1"/>
    <xf numFmtId="1" fontId="0" fillId="16" borderId="12" xfId="0" applyNumberFormat="1" applyFill="1" applyBorder="1"/>
    <xf numFmtId="1" fontId="0" fillId="0" borderId="12" xfId="0" applyNumberFormat="1" applyBorder="1"/>
    <xf numFmtId="0" fontId="0" fillId="11" borderId="0" xfId="0" applyFill="1"/>
    <xf numFmtId="0" fontId="0" fillId="20" borderId="0" xfId="0" applyFill="1"/>
    <xf numFmtId="0" fontId="0" fillId="0" borderId="1" xfId="0" quotePrefix="1" applyBorder="1" applyAlignment="1">
      <alignment wrapText="1"/>
    </xf>
    <xf numFmtId="9" fontId="0" fillId="7" borderId="1" xfId="1" applyFont="1" applyFill="1" applyBorder="1"/>
    <xf numFmtId="164" fontId="0" fillId="0" borderId="0" xfId="1" applyNumberFormat="1" applyFont="1"/>
    <xf numFmtId="0" fontId="0" fillId="19" borderId="0" xfId="0" applyFill="1"/>
    <xf numFmtId="0" fontId="15" fillId="16" borderId="16" xfId="2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18" xfId="0" applyBorder="1"/>
    <xf numFmtId="0" fontId="3" fillId="0" borderId="18" xfId="0" applyFont="1" applyBorder="1" applyAlignment="1">
      <alignment vertical="center"/>
    </xf>
    <xf numFmtId="0" fontId="3" fillId="0" borderId="18" xfId="0" applyFont="1" applyBorder="1" applyAlignment="1">
      <alignment horizontal="right" vertical="center"/>
    </xf>
    <xf numFmtId="0" fontId="0" fillId="0" borderId="19" xfId="0" applyBorder="1"/>
    <xf numFmtId="18" fontId="0" fillId="18" borderId="0" xfId="0" applyNumberFormat="1" applyFill="1"/>
    <xf numFmtId="0" fontId="0" fillId="0" borderId="13" xfId="0" applyBorder="1"/>
    <xf numFmtId="0" fontId="0" fillId="0" borderId="15" xfId="0" applyBorder="1"/>
    <xf numFmtId="0" fontId="0" fillId="0" borderId="13" xfId="0" applyBorder="1" applyAlignment="1">
      <alignment wrapText="1"/>
    </xf>
    <xf numFmtId="0" fontId="19" fillId="0" borderId="0" xfId="0" applyFont="1"/>
    <xf numFmtId="0" fontId="13" fillId="0" borderId="0" xfId="0" quotePrefix="1" applyFont="1"/>
    <xf numFmtId="0" fontId="21" fillId="0" borderId="0" xfId="0" applyFont="1"/>
    <xf numFmtId="0" fontId="0" fillId="9" borderId="3" xfId="0" applyFill="1" applyBorder="1"/>
    <xf numFmtId="0" fontId="0" fillId="0" borderId="0" xfId="0" applyAlignment="1">
      <alignment horizontal="center"/>
    </xf>
    <xf numFmtId="0" fontId="0" fillId="19" borderId="0" xfId="0" applyFill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9" fontId="7" fillId="0" borderId="0" xfId="1" applyFont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/>
    </xf>
    <xf numFmtId="0" fontId="13" fillId="8" borderId="0" xfId="0" applyFont="1" applyFill="1" applyAlignment="1">
      <alignment horizontal="left"/>
    </xf>
    <xf numFmtId="0" fontId="13" fillId="6" borderId="0" xfId="0" applyFont="1" applyFill="1" applyAlignment="1">
      <alignment horizontal="left"/>
    </xf>
    <xf numFmtId="0" fontId="13" fillId="5" borderId="0" xfId="0" applyFont="1" applyFill="1" applyAlignment="1">
      <alignment horizontal="center"/>
    </xf>
    <xf numFmtId="0" fontId="13" fillId="5" borderId="1" xfId="0" applyFont="1" applyFill="1" applyBorder="1" applyAlignment="1">
      <alignment horizontal="center"/>
    </xf>
    <xf numFmtId="14" fontId="0" fillId="0" borderId="0" xfId="0" applyNumberFormat="1"/>
  </cellXfs>
  <cellStyles count="3">
    <cellStyle name="Hyperlink" xfId="2" builtinId="8"/>
    <cellStyle name="Procent" xfId="1" builtinId="5"/>
    <cellStyle name="Standaard" xfId="0" builtinId="0"/>
  </cellStyles>
  <dxfs count="97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99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13" formatCode="0%"/>
    </dxf>
    <dxf>
      <alignment horizontal="general" vertical="bottom" textRotation="0" wrapText="1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101"/>
      <color rgb="FFFFFF99"/>
      <color rgb="FFFFFF89"/>
      <color rgb="FFFF7D7D"/>
      <color rgb="FF2F00DA"/>
      <color rgb="FFFFA3A3"/>
      <color rgb="FF000000"/>
      <color rgb="FFFF6D6D"/>
      <color rgb="FF7DFFCA"/>
      <color rgb="FF69FF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2.xml"/><Relationship Id="rId78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Start</a:t>
            </a:r>
            <a:r>
              <a:rPr lang="en-US" baseline="0"/>
              <a:t> where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40-43FA-A86F-5C2860A382D9}"/>
              </c:ext>
            </c:extLst>
          </c:dPt>
          <c:dPt>
            <c:idx val="1"/>
            <c:bubble3D val="0"/>
            <c:spPr>
              <a:solidFill>
                <a:srgbClr val="FFFF8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540-43FA-A86F-5C2860A382D9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40-43FA-A86F-5C2860A382D9}"/>
              </c:ext>
            </c:extLst>
          </c:dPt>
          <c:cat>
            <c:strRef>
              <c:f>Per_Team!$E$5:$E$7</c:f>
              <c:strCache>
                <c:ptCount val="3"/>
                <c:pt idx="0">
                  <c:v>Depot</c:v>
                </c:pt>
                <c:pt idx="1">
                  <c:v>Hub</c:v>
                </c:pt>
                <c:pt idx="2">
                  <c:v>Outpost</c:v>
                </c:pt>
              </c:strCache>
            </c:strRef>
          </c:cat>
          <c:val>
            <c:numRef>
              <c:f>Per_Team!$F$5:$F$7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0-43FA-A86F-5C2860A38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Pick</a:t>
            </a:r>
            <a:r>
              <a:rPr lang="en-US" baseline="0"/>
              <a:t> up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21-45E6-8814-53D586E9F473}"/>
              </c:ext>
            </c:extLst>
          </c:dPt>
          <c:dPt>
            <c:idx val="1"/>
            <c:bubble3D val="0"/>
            <c:spPr>
              <a:solidFill>
                <a:srgbClr val="FFFF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E21-45E6-8814-53D586E9F473}"/>
              </c:ext>
            </c:extLst>
          </c:dPt>
          <c:dPt>
            <c:idx val="2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21-45E6-8814-53D586E9F473}"/>
              </c:ext>
            </c:extLst>
          </c:dPt>
          <c:cat>
            <c:strRef>
              <c:f>Per_Team!$H$5:$H$7</c:f>
              <c:strCache>
                <c:ptCount val="3"/>
                <c:pt idx="0">
                  <c:v>Ground</c:v>
                </c:pt>
                <c:pt idx="1">
                  <c:v>Human Player</c:v>
                </c:pt>
                <c:pt idx="2">
                  <c:v>Depot</c:v>
                </c:pt>
              </c:strCache>
            </c:strRef>
          </c:cat>
          <c:val>
            <c:numRef>
              <c:f>Per_Team!$I$5:$I$7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1-45E6-8814-53D586E9F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92-4C42-B941-6D7AC6AA709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092-4C42-B941-6D7AC6AA7095}"/>
              </c:ext>
            </c:extLst>
          </c:dPt>
          <c:cat>
            <c:strRef>
              <c:f>Per_Team!$K$5:$K$6</c:f>
              <c:strCache>
                <c:ptCount val="2"/>
                <c:pt idx="0">
                  <c:v>Moved</c:v>
                </c:pt>
                <c:pt idx="1">
                  <c:v>Climb</c:v>
                </c:pt>
              </c:strCache>
            </c:strRef>
          </c:cat>
          <c:val>
            <c:numRef>
              <c:f>Per_Team!$L$5:$L$6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2-4C42-B941-6D7AC6AA7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405727"/>
        <c:axId val="2095403327"/>
      </c:barChart>
      <c:catAx>
        <c:axId val="209540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95403327"/>
        <c:crosses val="autoZero"/>
        <c:auto val="1"/>
        <c:lblAlgn val="ctr"/>
        <c:lblOffset val="100"/>
        <c:noMultiLvlLbl val="0"/>
      </c:catAx>
      <c:valAx>
        <c:axId val="209540332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9540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Climb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Per_Team!$C$4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BD-4946-A5E8-527738C9BCA0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4BD-4946-A5E8-527738C9BCA0}"/>
              </c:ext>
            </c:extLst>
          </c:dPt>
          <c:dPt>
            <c:idx val="2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BD-4946-A5E8-527738C9BCA0}"/>
              </c:ext>
            </c:extLst>
          </c:dPt>
          <c:dPt>
            <c:idx val="3"/>
            <c:bubble3D val="0"/>
            <c:spPr>
              <a:solidFill>
                <a:srgbClr val="FFFF8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4BD-4946-A5E8-527738C9BCA0}"/>
              </c:ext>
            </c:extLst>
          </c:dPt>
          <c:dPt>
            <c:idx val="4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BD-4946-A5E8-527738C9BCA0}"/>
              </c:ext>
            </c:extLst>
          </c:dPt>
          <c:cat>
            <c:strRef>
              <c:f>Per_Team!$B$5:$B$9</c:f>
              <c:strCache>
                <c:ptCount val="5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Attempt</c:v>
                </c:pt>
                <c:pt idx="4">
                  <c:v>No Attempt</c:v>
                </c:pt>
              </c:strCache>
            </c:strRef>
          </c:cat>
          <c:val>
            <c:numRef>
              <c:f>Per_Team!$C$5:$C$9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D-4946-A5E8-527738C9B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Balls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69-45EE-9B07-27FA1679A64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A69-45EE-9B07-27FA1679A643}"/>
              </c:ext>
            </c:extLst>
          </c:dPt>
          <c:dPt>
            <c:idx val="2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69-45EE-9B07-27FA1679A643}"/>
              </c:ext>
            </c:extLst>
          </c:dPt>
          <c:cat>
            <c:strRef>
              <c:f>Per_Team!$N$5:$N$7</c:f>
              <c:strCache>
                <c:ptCount val="3"/>
                <c:pt idx="0">
                  <c:v>min</c:v>
                </c:pt>
                <c:pt idx="1">
                  <c:v>avg</c:v>
                </c:pt>
                <c:pt idx="2">
                  <c:v>max</c:v>
                </c:pt>
              </c:strCache>
            </c:strRef>
          </c:cat>
          <c:val>
            <c:numRef>
              <c:f>Per_Team!$O$5:$O$7</c:f>
              <c:numCache>
                <c:formatCode>0.0</c:formatCode>
                <c:ptCount val="3"/>
                <c:pt idx="0" formatCode="General">
                  <c:v>2</c:v>
                </c:pt>
                <c:pt idx="1">
                  <c:v>3.25</c:v>
                </c:pt>
                <c:pt idx="2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9-45EE-9B07-27FA1679A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021871"/>
        <c:axId val="472011311"/>
      </c:barChart>
      <c:catAx>
        <c:axId val="47202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72011311"/>
        <c:crosses val="autoZero"/>
        <c:auto val="1"/>
        <c:lblAlgn val="ctr"/>
        <c:lblOffset val="100"/>
        <c:noMultiLvlLbl val="0"/>
      </c:catAx>
      <c:valAx>
        <c:axId val="47201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7202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24</xdr:row>
      <xdr:rowOff>0</xdr:rowOff>
    </xdr:from>
    <xdr:to>
      <xdr:col>19</xdr:col>
      <xdr:colOff>304800</xdr:colOff>
      <xdr:row>24</xdr:row>
      <xdr:rowOff>304800</xdr:rowOff>
    </xdr:to>
    <xdr:sp macro="" textlink="">
      <xdr:nvSpPr>
        <xdr:cNvPr id="286721" name="AutoShape 1">
          <a:extLst>
            <a:ext uri="{FF2B5EF4-FFF2-40B4-BE49-F238E27FC236}">
              <a16:creationId xmlns:a16="http://schemas.microsoft.com/office/drawing/2014/main" id="{343287E8-51EA-6324-1A60-FBAB444B5F7A}"/>
            </a:ext>
          </a:extLst>
        </xdr:cNvPr>
        <xdr:cNvSpPr>
          <a:spLocks noChangeAspect="1" noChangeArrowheads="1"/>
        </xdr:cNvSpPr>
      </xdr:nvSpPr>
      <xdr:spPr bwMode="auto">
        <a:xfrm>
          <a:off x="22875240" y="30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304800</xdr:colOff>
      <xdr:row>24</xdr:row>
      <xdr:rowOff>304800</xdr:rowOff>
    </xdr:to>
    <xdr:sp macro="" textlink="">
      <xdr:nvSpPr>
        <xdr:cNvPr id="286722" name="AutoShape 2">
          <a:extLst>
            <a:ext uri="{FF2B5EF4-FFF2-40B4-BE49-F238E27FC236}">
              <a16:creationId xmlns:a16="http://schemas.microsoft.com/office/drawing/2014/main" id="{22D26673-C24F-B94C-4D83-E186D96F841E}"/>
            </a:ext>
          </a:extLst>
        </xdr:cNvPr>
        <xdr:cNvSpPr>
          <a:spLocks noChangeAspect="1" noChangeArrowheads="1"/>
        </xdr:cNvSpPr>
      </xdr:nvSpPr>
      <xdr:spPr bwMode="auto">
        <a:xfrm>
          <a:off x="20932140" y="30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304800</xdr:colOff>
      <xdr:row>24</xdr:row>
      <xdr:rowOff>304800</xdr:rowOff>
    </xdr:to>
    <xdr:sp macro="" textlink="">
      <xdr:nvSpPr>
        <xdr:cNvPr id="286723" name="AutoShape 3">
          <a:extLst>
            <a:ext uri="{FF2B5EF4-FFF2-40B4-BE49-F238E27FC236}">
              <a16:creationId xmlns:a16="http://schemas.microsoft.com/office/drawing/2014/main" id="{B8A89C8F-9DF4-9789-6EBC-6199A39355B8}"/>
            </a:ext>
          </a:extLst>
        </xdr:cNvPr>
        <xdr:cNvSpPr>
          <a:spLocks noChangeAspect="1" noChangeArrowheads="1"/>
        </xdr:cNvSpPr>
      </xdr:nvSpPr>
      <xdr:spPr bwMode="auto">
        <a:xfrm>
          <a:off x="22875240" y="30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304800</xdr:colOff>
      <xdr:row>24</xdr:row>
      <xdr:rowOff>304800</xdr:rowOff>
    </xdr:to>
    <xdr:sp macro="" textlink="">
      <xdr:nvSpPr>
        <xdr:cNvPr id="286724" name="AutoShape 4">
          <a:extLst>
            <a:ext uri="{FF2B5EF4-FFF2-40B4-BE49-F238E27FC236}">
              <a16:creationId xmlns:a16="http://schemas.microsoft.com/office/drawing/2014/main" id="{63826F92-769A-F7DA-8E56-D212C285B794}"/>
            </a:ext>
          </a:extLst>
        </xdr:cNvPr>
        <xdr:cNvSpPr>
          <a:spLocks noChangeAspect="1" noChangeArrowheads="1"/>
        </xdr:cNvSpPr>
      </xdr:nvSpPr>
      <xdr:spPr bwMode="auto">
        <a:xfrm>
          <a:off x="22875240" y="30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304800</xdr:colOff>
      <xdr:row>28</xdr:row>
      <xdr:rowOff>304800</xdr:rowOff>
    </xdr:to>
    <xdr:sp macro="" textlink="">
      <xdr:nvSpPr>
        <xdr:cNvPr id="286725" name="AutoShape 5" descr="Displaying untitled">
          <a:extLst>
            <a:ext uri="{FF2B5EF4-FFF2-40B4-BE49-F238E27FC236}">
              <a16:creationId xmlns:a16="http://schemas.microsoft.com/office/drawing/2014/main" id="{9940FCA6-7AFC-7E3B-8428-9DF6F96F7EAF}"/>
            </a:ext>
          </a:extLst>
        </xdr:cNvPr>
        <xdr:cNvSpPr>
          <a:spLocks noChangeAspect="1" noChangeArrowheads="1"/>
        </xdr:cNvSpPr>
      </xdr:nvSpPr>
      <xdr:spPr bwMode="auto">
        <a:xfrm>
          <a:off x="22875240" y="30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6</xdr:col>
      <xdr:colOff>0</xdr:colOff>
      <xdr:row>16</xdr:row>
      <xdr:rowOff>5166</xdr:rowOff>
    </xdr:to>
    <xdr:graphicFrame macro="">
      <xdr:nvGraphicFramePr>
        <xdr:cNvPr id="13" name="Grafiek 12">
          <a:extLst>
            <a:ext uri="{FF2B5EF4-FFF2-40B4-BE49-F238E27FC236}">
              <a16:creationId xmlns:a16="http://schemas.microsoft.com/office/drawing/2014/main" id="{016812A4-AF47-1D50-5F6D-631912320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514595</xdr:colOff>
      <xdr:row>7</xdr:row>
      <xdr:rowOff>0</xdr:rowOff>
    </xdr:from>
    <xdr:to>
      <xdr:col>9</xdr:col>
      <xdr:colOff>12291</xdr:colOff>
      <xdr:row>16</xdr:row>
      <xdr:rowOff>2140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CDB53CEE-1B9C-1D4F-CD98-45E8B6724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11907</xdr:colOff>
      <xdr:row>9</xdr:row>
      <xdr:rowOff>23814</xdr:rowOff>
    </xdr:from>
    <xdr:to>
      <xdr:col>12</xdr:col>
      <xdr:colOff>11907</xdr:colOff>
      <xdr:row>18</xdr:row>
      <xdr:rowOff>76605</xdr:rowOff>
    </xdr:to>
    <xdr:graphicFrame macro="">
      <xdr:nvGraphicFramePr>
        <xdr:cNvPr id="15" name="Grafiek 14">
          <a:extLst>
            <a:ext uri="{FF2B5EF4-FFF2-40B4-BE49-F238E27FC236}">
              <a16:creationId xmlns:a16="http://schemas.microsoft.com/office/drawing/2014/main" id="{1E1D9E2E-8C1C-2D67-3DFD-52EF81DFA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156981</xdr:rowOff>
        </xdr:from>
        <xdr:to>
          <xdr:col>19</xdr:col>
          <xdr:colOff>555171</xdr:colOff>
          <xdr:row>24</xdr:row>
          <xdr:rowOff>173842</xdr:rowOff>
        </xdr:to>
        <xdr:pic>
          <xdr:nvPicPr>
            <xdr:cNvPr id="4" name="Afbeelding 3">
              <a:extLst>
                <a:ext uri="{FF2B5EF4-FFF2-40B4-BE49-F238E27FC236}">
                  <a16:creationId xmlns:a16="http://schemas.microsoft.com/office/drawing/2014/main" id="{A6DBE225-FFA3-E29C-6F1D-C2749E6B4AD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85"/>
                </a:ext>
              </a:extLst>
            </xdr:cNvPicPr>
          </xdr:nvPicPr>
          <xdr:blipFill rotWithShape="1"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2348575" y="2839639"/>
              <a:ext cx="4029206" cy="276575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555171</xdr:colOff>
          <xdr:row>24</xdr:row>
          <xdr:rowOff>173842</xdr:rowOff>
        </xdr:to>
        <xdr:pic>
          <xdr:nvPicPr>
            <xdr:cNvPr id="1082" name="Afbeelding 3">
              <a:extLst>
                <a:ext uri="{FF2B5EF4-FFF2-40B4-BE49-F238E27FC236}">
                  <a16:creationId xmlns:a16="http://schemas.microsoft.com/office/drawing/2014/main" id="{F951A6F5-FB4A-0325-C559-41AEDC55F72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8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2355286" y="2816134"/>
              <a:ext cx="4027714" cy="272505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6460</xdr:colOff>
      <xdr:row>8</xdr:row>
      <xdr:rowOff>168727</xdr:rowOff>
    </xdr:from>
    <xdr:to>
      <xdr:col>3</xdr:col>
      <xdr:colOff>61451</xdr:colOff>
      <xdr:row>15</xdr:row>
      <xdr:rowOff>174288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B0F2E96-7C26-046E-368B-AB6C79FD8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555171</xdr:colOff>
          <xdr:row>24</xdr:row>
          <xdr:rowOff>174929</xdr:rowOff>
        </xdr:to>
        <xdr:pic>
          <xdr:nvPicPr>
            <xdr:cNvPr id="1180" name="Afbeelding 3">
              <a:extLst>
                <a:ext uri="{FF2B5EF4-FFF2-40B4-BE49-F238E27FC236}">
                  <a16:creationId xmlns:a16="http://schemas.microsoft.com/office/drawing/2014/main" id="{7F98D5DA-2C69-90CA-8BE2-90A6D0BD5A5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8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2429506" y="3059578"/>
              <a:ext cx="4028703" cy="2632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593000</xdr:colOff>
          <xdr:row>24</xdr:row>
          <xdr:rowOff>174929</xdr:rowOff>
        </xdr:to>
        <xdr:pic>
          <xdr:nvPicPr>
            <xdr:cNvPr id="1181" name="Picture 157">
              <a:extLst>
                <a:ext uri="{FF2B5EF4-FFF2-40B4-BE49-F238E27FC236}">
                  <a16:creationId xmlns:a16="http://schemas.microsoft.com/office/drawing/2014/main" id="{41C63A4D-201D-6B92-722C-0437C9B83A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8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2431486" y="3730534"/>
              <a:ext cx="4071257" cy="271031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13</xdr:col>
      <xdr:colOff>34017</xdr:colOff>
      <xdr:row>7</xdr:row>
      <xdr:rowOff>43544</xdr:rowOff>
    </xdr:from>
    <xdr:to>
      <xdr:col>15</xdr:col>
      <xdr:colOff>0</xdr:colOff>
      <xdr:row>15</xdr:row>
      <xdr:rowOff>149678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0723BACC-2436-6D55-78A5-768FAEA69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404" name="Afbeelding 3">
              <a:extLst>
                <a:ext uri="{FF2B5EF4-FFF2-40B4-BE49-F238E27FC236}">
                  <a16:creationId xmlns:a16="http://schemas.microsoft.com/office/drawing/2014/main" id="{54D6409F-048E-EE7D-3289-54B7E07E899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89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59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405" name="Picture 1725">
              <a:extLst>
                <a:ext uri="{FF2B5EF4-FFF2-40B4-BE49-F238E27FC236}">
                  <a16:creationId xmlns:a16="http://schemas.microsoft.com/office/drawing/2014/main" id="{5BC4B8BB-7277-857C-B260-BBE2412114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90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59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406" name="Picture 1726">
              <a:extLst>
                <a:ext uri="{FF2B5EF4-FFF2-40B4-BE49-F238E27FC236}">
                  <a16:creationId xmlns:a16="http://schemas.microsoft.com/office/drawing/2014/main" id="{38B16956-0EE8-B45A-9E88-0588B9B8803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9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67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598170</xdr:colOff>
          <xdr:row>24</xdr:row>
          <xdr:rowOff>175125</xdr:rowOff>
        </xdr:to>
        <xdr:pic>
          <xdr:nvPicPr>
            <xdr:cNvPr id="73407" name="Picture 157">
              <a:extLst>
                <a:ext uri="{FF2B5EF4-FFF2-40B4-BE49-F238E27FC236}">
                  <a16:creationId xmlns:a16="http://schemas.microsoft.com/office/drawing/2014/main" id="{697AFCAD-E109-FCBF-284A-FBD9AA6F998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9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69080" cy="2667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671" name="Afbeelding 3">
              <a:extLst>
                <a:ext uri="{FF2B5EF4-FFF2-40B4-BE49-F238E27FC236}">
                  <a16:creationId xmlns:a16="http://schemas.microsoft.com/office/drawing/2014/main" id="{C0F47C56-F32D-2F40-1B0D-C16DF01959B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93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59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672" name="Picture 1992">
              <a:extLst>
                <a:ext uri="{FF2B5EF4-FFF2-40B4-BE49-F238E27FC236}">
                  <a16:creationId xmlns:a16="http://schemas.microsoft.com/office/drawing/2014/main" id="{430940F3-BC6F-D361-BF9E-2ED3827228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94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59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673" name="Picture 1993">
              <a:extLst>
                <a:ext uri="{FF2B5EF4-FFF2-40B4-BE49-F238E27FC236}">
                  <a16:creationId xmlns:a16="http://schemas.microsoft.com/office/drawing/2014/main" id="{C07ACDF5-3E86-7BCA-9A99-275ECEE320E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95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67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598170</xdr:colOff>
          <xdr:row>24</xdr:row>
          <xdr:rowOff>175125</xdr:rowOff>
        </xdr:to>
        <xdr:pic>
          <xdr:nvPicPr>
            <xdr:cNvPr id="73674" name="Picture 157">
              <a:extLst>
                <a:ext uri="{FF2B5EF4-FFF2-40B4-BE49-F238E27FC236}">
                  <a16:creationId xmlns:a16="http://schemas.microsoft.com/office/drawing/2014/main" id="{E4E98FAE-40BD-A799-354E-0BDFEE16BE2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9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69080" cy="2667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675" name="Picture 1995">
              <a:extLst>
                <a:ext uri="{FF2B5EF4-FFF2-40B4-BE49-F238E27FC236}">
                  <a16:creationId xmlns:a16="http://schemas.microsoft.com/office/drawing/2014/main" id="{ACC7A5AB-8472-AB60-9626-E9402341592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9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59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676" name="Picture 1725">
              <a:extLst>
                <a:ext uri="{FF2B5EF4-FFF2-40B4-BE49-F238E27FC236}">
                  <a16:creationId xmlns:a16="http://schemas.microsoft.com/office/drawing/2014/main" id="{55B3D31A-E6FB-11BD-70F6-77E739AD5D4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9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59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15</xdr:col>
      <xdr:colOff>563880</xdr:colOff>
      <xdr:row>14</xdr:row>
      <xdr:rowOff>0</xdr:rowOff>
    </xdr:from>
    <xdr:to>
      <xdr:col>19</xdr:col>
      <xdr:colOff>228600</xdr:colOff>
      <xdr:row>25</xdr:row>
      <xdr:rowOff>22860</xdr:rowOff>
    </xdr:to>
    <xdr:sp macro="" textlink="">
      <xdr:nvSpPr>
        <xdr:cNvPr id="497915" name="AutoShape 1275">
          <a:extLst>
            <a:ext uri="{FF2B5EF4-FFF2-40B4-BE49-F238E27FC236}">
              <a16:creationId xmlns:a16="http://schemas.microsoft.com/office/drawing/2014/main" id="{B2B29A11-3EBE-BFBB-7AEC-115C082612AD}"/>
            </a:ext>
          </a:extLst>
        </xdr:cNvPr>
        <xdr:cNvSpPr>
          <a:spLocks noChangeAspect="1" noChangeArrowheads="1"/>
        </xdr:cNvSpPr>
      </xdr:nvSpPr>
      <xdr:spPr bwMode="auto">
        <a:xfrm>
          <a:off x="14127480" y="3177540"/>
          <a:ext cx="4069080" cy="213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t%20Inpu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%20Te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t Inpu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 Team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23C17-2E23-4D9B-A0F1-756CC592FEA4}" name="Tabel1" displayName="Tabel1" ref="A1:W318" totalsRowShown="0" headerRowDxfId="96" dataDxfId="94" headerRowBorderDxfId="95" tableBorderDxfId="93" totalsRowBorderDxfId="92">
  <autoFilter ref="A1:W318" xr:uid="{1BF23C17-2E23-4D9B-A0F1-756CC592FEA4}">
    <filterColumn colId="0">
      <filters blank="1">
        <filter val=";Nick"/>
        <filter val="Anita Karki"/>
        <filter val="Jippe"/>
        <filter val="Joep"/>
        <filter val="LeoV"/>
        <filter val="Lex vG"/>
        <filter val="Maud"/>
        <filter val="Maud R"/>
        <filter val="Mil g"/>
        <filter val="Milan"/>
        <filter val="Nick"/>
        <filter val="Scouter Initials"/>
        <filter val="TimoS"/>
        <filter val="Yannis"/>
      </filters>
    </filterColumn>
  </autoFilter>
  <sortState xmlns:xlrd2="http://schemas.microsoft.com/office/spreadsheetml/2017/richdata2" ref="A2:W309">
    <sortCondition ref="B1:B309"/>
  </sortState>
  <tableColumns count="23">
    <tableColumn id="1" xr3:uid="{0D6CE047-A433-4A94-B72D-86F3A1A3FE03}" name="Scouter Initials" dataDxfId="91"/>
    <tableColumn id="2" xr3:uid="{AE2F2C12-3790-4B5D-9FF7-D328BF49EDA8}" name="Match Number" dataDxfId="90"/>
    <tableColumn id="3" xr3:uid="{BFE4D2CF-0899-4EA6-8D3A-049047F72067}" name="Robot" dataDxfId="89"/>
    <tableColumn id="4" xr3:uid="{B7C7C17C-225A-4634-84D0-94369BA7AA9D}" name="Team Number" dataDxfId="88"/>
    <tableColumn id="5" xr3:uid="{554AE419-5FAA-47E4-97D5-FEC973923A81}" name="Starting Position" dataDxfId="87"/>
    <tableColumn id="6" xr3:uid="{8DE5DFC0-21D7-4C38-8F86-F73EBCFEBD49}" name="No Show" dataDxfId="86"/>
    <tableColumn id="7" xr3:uid="{DEE9FF2C-6E6A-4F77-8DC4-7331DF4888F3}" name="Preload" dataDxfId="85"/>
    <tableColumn id="8" xr3:uid="{E880C577-27EE-4006-8092-396703AB85DB}" name="Moved?" dataDxfId="84"/>
    <tableColumn id="9" xr3:uid="{51167DDC-D0D3-4243-8933-D971CD164684}" name="Shoot" dataDxfId="83"/>
    <tableColumn id="10" xr3:uid="{73753FE5-8A48-46A2-89B8-ED3994CD2F03}" name="Climbing" dataDxfId="82"/>
    <tableColumn id="11" xr3:uid="{0E4A40E3-2BAC-4DE3-A33C-AFE085D6A066}" name="PickUp Ground" dataDxfId="81"/>
    <tableColumn id="12" xr3:uid="{0FCA9387-E164-4652-8D99-3B4EBF6A3A67}" name="PickUP Human Player" dataDxfId="80"/>
    <tableColumn id="13" xr3:uid="{F8034D35-EE3E-4A62-A0FD-C5C28CE97C30}" name="PickUp Depot" dataDxfId="79"/>
    <tableColumn id="14" xr3:uid="{2CB83673-3188-43D4-8D56-A632A55F1582}" name="+1" dataDxfId="78"/>
    <tableColumn id="23" xr3:uid="{02F54E84-FCE4-404D-92A2-226F0453B49A}" name="+3" dataDxfId="77"/>
    <tableColumn id="22" xr3:uid="{572FBDC2-29B9-468C-8C9D-733F2200E6E6}" name="+5" dataDxfId="76"/>
    <tableColumn id="15" xr3:uid="{CDD888BC-9232-484E-8574-D5B349CB42D8}" name="Amount in Hub" dataDxfId="75"/>
    <tableColumn id="16" xr3:uid="{CA564218-8940-4567-8ABF-900A35305641}" name="Defence/ to other side" dataDxfId="74"/>
    <tableColumn id="17" xr3:uid="{D33A7D25-4DD3-458D-8843-1D75F3040334}" name="End Position" dataDxfId="73"/>
    <tableColumn id="18" xr3:uid="{8FA84E02-3C0D-4EE2-B79C-914C92D43C67}" name="Died?" dataDxfId="72"/>
    <tableColumn id="19" xr3:uid="{EC4C84CE-677E-4805-9F81-CE2188CF9089}" name="Tipped/Fell Over?" dataDxfId="71"/>
    <tableColumn id="20" xr3:uid="{9ECFD24A-F6D6-4E2D-AE63-C519D3FF9CE0}" name="Comments" dataDxfId="70"/>
    <tableColumn id="21" xr3:uid="{C8D62055-45EE-4F01-BF12-4451E8CC9D0E}" name="driver skill" dataDxfId="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DEEB54-EC2A-4D9A-8B6F-40C0F0638033}" name="Tabel2" displayName="Tabel2" ref="A1:S35" totalsRowShown="0" headerRowDxfId="68" headerRowBorderDxfId="67" tableBorderDxfId="66" totalsRowBorderDxfId="65">
  <autoFilter ref="A1:S35" xr:uid="{D8DEEB54-EC2A-4D9A-8B6F-40C0F0638033}"/>
  <tableColumns count="19">
    <tableColumn id="1" xr3:uid="{BF932EA6-2C49-4531-8CB7-025E1B0F405D}" name="pit scouter" dataDxfId="64"/>
    <tableColumn id="2" xr3:uid="{96E405CC-83A1-48DE-85B8-83993E9EA06A}" name="team name" dataDxfId="63"/>
    <tableColumn id="3" xr3:uid="{5E275D47-6CAA-43B1-8B63-A654C7D859F4}" name="team_number" dataDxfId="62"/>
    <tableColumn id="4" xr3:uid="{AC5F4CAE-9506-4A21-B801-AAAF31EF32DA}" name="weight" dataDxfId="61"/>
    <tableColumn id="5" xr3:uid="{985ABBC8-4218-48C2-B3A4-C81DB02CABAA}" name="min height" dataDxfId="60"/>
    <tableColumn id="7" xr3:uid="{2F9BDD31-6439-44F3-898C-0E0B509E1D60}" name="width and lenght" dataDxfId="59"/>
    <tableColumn id="8" xr3:uid="{DB2B9FC7-804B-45E4-A91B-46B41C16C032}" name="hopper balls" dataDxfId="58"/>
    <tableColumn id="9" xr3:uid="{8779E968-B47F-4E8B-9C16-DB7A96AF5004}" name="drivetrain" dataDxfId="57"/>
    <tableColumn id="21" xr3:uid="{977D792C-EA70-4A7B-B49E-07B8A378D049}" name="Auto start position" dataDxfId="56"/>
    <tableColumn id="10" xr3:uid="{242166EE-E966-44F8-BAC9-834C239F8258}" name="auto" dataDxfId="55"/>
    <tableColumn id="11" xr3:uid="{AF2279D2-DEF4-4E57-AA84-1F04E2A68C2D}" name="climb " dataDxfId="54"/>
    <tableColumn id="12" xr3:uid="{10FBEE20-5144-458C-91EC-29ADB10DA644}" name="pick up " dataDxfId="53"/>
    <tableColumn id="13" xr3:uid="{B425D06F-5FE4-45C6-8E9F-22F69B63B644}" name=" avg cycle time" dataDxfId="52"/>
    <tableColumn id="14" xr3:uid="{AE315BE2-59C2-4D9C-ABD7-710C5F4FE64A}" name="over bump" dataDxfId="51"/>
    <tableColumn id="15" xr3:uid="{9E6FAD7F-C39B-4549-A976-31801C4B879E}" name="under trench " dataDxfId="50"/>
    <tableColumn id="16" xr3:uid="{E7A58491-82A0-462B-8C5E-0C1BEDA4906C}" name="feed from middle" dataDxfId="49"/>
    <tableColumn id="17" xr3:uid="{35C04F79-3229-40CE-B13F-CDA297D51546}" name="Auto align" dataDxfId="48"/>
    <tableColumn id="18" xr3:uid="{8FC8615D-0DDC-440D-B97C-C735F8AD5C4C}" name="shooting" dataDxfId="47"/>
    <tableColumn id="20" xr3:uid="{D7253259-B1D7-4D65-BC4D-AA7B445951E3}" name="comments/doubts" data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1D03151-92BF-4514-A1F9-0B6C1992A1F5}" name="Tabel9" displayName="Tabel9" ref="A2:V59" totalsRowShown="0" headerRowDxfId="45">
  <autoFilter ref="A2:V59" xr:uid="{71D03151-92BF-4514-A1F9-0B6C1992A1F5}"/>
  <sortState xmlns:xlrd2="http://schemas.microsoft.com/office/spreadsheetml/2017/richdata2" ref="A3:V59">
    <sortCondition descending="1" ref="E2:E59"/>
  </sortState>
  <tableColumns count="22">
    <tableColumn id="21" xr3:uid="{CA196BA1-9213-47AB-A597-D2A21D0AF23D}" name="Kolom1" dataDxfId="44"/>
    <tableColumn id="1" xr3:uid="{A115660A-3ABD-4B9B-B2BC-9FFF2C00614F}" name="team_number"/>
    <tableColumn id="2" xr3:uid="{5FB606F9-1BFE-4896-BC4A-7B903D4E4480}" name="team_name" dataDxfId="43"/>
    <tableColumn id="3" xr3:uid="{8FDEE810-89FF-4346-8CCA-2C1A599F1689}" name="shoot accuration" dataDxfId="42">
      <calculatedColumnFormula>AVERAGE(INDIRECT("'" &amp; B3 &amp; "'!Q3:Q99"))/100</calculatedColumnFormula>
    </tableColumn>
    <tableColumn id="4" xr3:uid="{E00F0A4D-352B-4113-B74B-76B33E10B131}" name="avg balls" dataDxfId="41">
      <calculatedColumnFormula>AVERAGE(INDIRECT("'" &amp; B3 &amp; "'!Y3:Y99"))</calculatedColumnFormula>
    </tableColumn>
    <tableColumn id="5" xr3:uid="{892A84F1-224E-41C0-968B-0C456905A4A2}" name="Climb">
      <calculatedColumnFormula>COUNTIF(INDIRECT("'" &amp; B3 &amp; "'!J3:J99"),1)/COUNT(INDIRECT("'" &amp; B3 &amp; "'!J3:J99"))</calculatedColumnFormula>
    </tableColumn>
    <tableColumn id="6" xr3:uid="{080A747E-ED7E-4127-A685-04F7A8A2E5F1}" name="shoot %"/>
    <tableColumn id="7" xr3:uid="{CB592D1B-D9A8-4F7E-AB1B-DE4B928D7A84}" name="Depot">
      <calculatedColumnFormula>COUNTIF(INDIRECT("'" &amp; B3 &amp; "'!E3:E99"), "D")</calculatedColumnFormula>
    </tableColumn>
    <tableColumn id="8" xr3:uid="{1114FE5A-321A-4CD8-9940-4F7E9D94DBD7}" name="Hub">
      <calculatedColumnFormula>COUNTIF(INDIRECT("'" &amp; B3 &amp; "'!E3:E99"), "H")</calculatedColumnFormula>
    </tableColumn>
    <tableColumn id="9" xr3:uid="{3EAD90C2-33EC-474E-8A9C-497DFF9443B9}" name="Outpost">
      <calculatedColumnFormula>COUNTIF(INDIRECT("'" &amp; B3 &amp; "'!E3:E99"), "O")</calculatedColumnFormula>
    </tableColumn>
    <tableColumn id="10" xr3:uid="{3270EE44-161D-46C0-8CBE-5A2BF43D5536}" name="avg balls2" dataDxfId="40">
      <calculatedColumnFormula>AVERAGE(INDIRECT("'" &amp; B3 &amp; "'!Y3:Y99"))</calculatedColumnFormula>
    </tableColumn>
    <tableColumn id="11" xr3:uid="{C245AFB2-B3F0-4877-A356-42003744638D}" name="in hub %">
      <calculatedColumnFormula>AVERAGE(INDIRECT("'" &amp; B3 &amp; "'!Q3:Q99"))</calculatedColumnFormula>
    </tableColumn>
    <tableColumn id="12" xr3:uid="{5E0AA214-3989-4630-AAD9-D1DD0D39D774}" name="ground pickup %" dataDxfId="39" dataCellStyle="Procent">
      <calculatedColumnFormula>COUNTIF(INDIRECT("'" &amp; B3 &amp; "'!K3:K99"),1)/COUNT(INDIRECT("'" &amp; B3 &amp; "'!K3:K99"))</calculatedColumnFormula>
    </tableColumn>
    <tableColumn id="13" xr3:uid="{428FAEC1-3E86-4008-B4E6-FCA4726572A7}" name="HP pickup %" dataDxfId="38" dataCellStyle="Procent">
      <calculatedColumnFormula>COUNTIF(INDIRECT("'" &amp; B3 &amp; "'!L3:L99"),1)/COUNT(INDIRECT("'" &amp; B3 &amp; "'!L3:L99"))</calculatedColumnFormula>
    </tableColumn>
    <tableColumn id="14" xr3:uid="{1DF6A585-948E-4FC2-8600-D367888378A8}" name="Deopt pickup %" dataDxfId="37" dataCellStyle="Procent">
      <calculatedColumnFormula>COUNTIF(INDIRECT("'" &amp; B3 &amp; "'!M3:M99"),1)/COUNT(INDIRECT("'" &amp; B3 &amp; "'!M3:M99"))</calculatedColumnFormula>
    </tableColumn>
    <tableColumn id="15" xr3:uid="{A8FBA84B-0813-4221-BE3F-1A979DBA6A6B}" name="defence">
      <calculatedColumnFormula>COUNTIF(INDIRECT("'" &amp; B3 &amp; "'!P3:P99"),1)/COUNT(INDIRECT("'" &amp; B3 &amp; "'!P3:P99"))</calculatedColumnFormula>
    </tableColumn>
    <tableColumn id="16" xr3:uid="{B6FB5DCE-57F4-4D35-8AD1-5F1C448D518D}" name="L1">
      <calculatedColumnFormula>COUNTIF(INDIRECT("'" &amp; B3 &amp; "'!Q3:Q99"), "L1")</calculatedColumnFormula>
    </tableColumn>
    <tableColumn id="17" xr3:uid="{556FB0C5-3595-49C2-AF45-44CFFCEB6ECF}" name="L2">
      <calculatedColumnFormula>COUNTIF(INDIRECT("'" &amp; B3 &amp; "'!Q3:Q99"), "L2")</calculatedColumnFormula>
    </tableColumn>
    <tableColumn id="18" xr3:uid="{9593407A-B8C5-4E1D-AC9F-A3C10F2CA003}" name="L3">
      <calculatedColumnFormula>COUNTIF(INDIRECT("'" &amp; B3 &amp; "'!Q3:Q99"), "L3")</calculatedColumnFormula>
    </tableColumn>
    <tableColumn id="19" xr3:uid="{6142F6BF-DA5A-40F6-AD30-DF8B21CCC74B}" name="NA">
      <calculatedColumnFormula>COUNTIF(INDIRECT("'" &amp; B3 &amp; "'!Q3:Q99"), "NA")</calculatedColumnFormula>
    </tableColumn>
    <tableColumn id="20" xr3:uid="{A6AAF5D3-141C-4F3F-8341-0507B1E56250}" name="A">
      <calculatedColumnFormula>COUNTIF(INDIRECT("'" &amp; B3 &amp; "'!Q3:Q99"), "A")</calculatedColumnFormula>
    </tableColumn>
    <tableColumn id="22" xr3:uid="{95FF0253-4C97-4EBD-9FCD-416BE6BBF4B6}" name="died/ tipped" dataDxfId="36" dataCellStyle="Procent">
      <calculatedColumnFormula>COUNTIF(INDIRECT("'" &amp; B3 &amp; "'!R3:S99"),1)/COUNT(INDIRECT("'" &amp; B3 &amp; "'!R3:s99"))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9854-C940-41C7-B1C9-33D4AA6C34E0}">
  <dimension ref="A1:Z318"/>
  <sheetViews>
    <sheetView zoomScale="80" zoomScaleNormal="80" workbookViewId="0">
      <pane ySplit="1" topLeftCell="A155" activePane="bottomLeft" state="frozen"/>
      <selection pane="bottomLeft" activeCell="A199" sqref="A199:XFD199"/>
    </sheetView>
  </sheetViews>
  <sheetFormatPr defaultRowHeight="14.4" x14ac:dyDescent="0.3"/>
  <cols>
    <col min="1" max="1" width="15.88671875" customWidth="1"/>
    <col min="2" max="2" width="15.44140625" customWidth="1"/>
    <col min="3" max="3" width="8.5546875" bestFit="1" customWidth="1"/>
    <col min="4" max="4" width="14.88671875" customWidth="1"/>
    <col min="5" max="5" width="17.109375" customWidth="1"/>
    <col min="6" max="6" width="11.109375" bestFit="1" customWidth="1"/>
    <col min="7" max="7" width="10.33203125" bestFit="1" customWidth="1"/>
    <col min="8" max="8" width="10.109375" bestFit="1" customWidth="1"/>
    <col min="9" max="9" width="8.5546875" bestFit="1" customWidth="1"/>
    <col min="10" max="10" width="11.33203125" bestFit="1" customWidth="1"/>
    <col min="11" max="11" width="16.5546875" bestFit="1" customWidth="1"/>
    <col min="12" max="12" width="22.44140625" bestFit="1" customWidth="1"/>
    <col min="13" max="13" width="15.21875" bestFit="1" customWidth="1"/>
    <col min="14" max="14" width="9.44140625" bestFit="1" customWidth="1"/>
    <col min="15" max="16" width="9.44140625" customWidth="1"/>
    <col min="17" max="17" width="16.109375" bestFit="1" customWidth="1"/>
    <col min="18" max="18" width="22.44140625" bestFit="1" customWidth="1"/>
    <col min="19" max="19" width="14.109375" bestFit="1" customWidth="1"/>
    <col min="20" max="20" width="8.5546875" bestFit="1" customWidth="1"/>
    <col min="21" max="21" width="18.5546875" bestFit="1" customWidth="1"/>
    <col min="22" max="22" width="12.33203125" customWidth="1"/>
    <col min="23" max="23" width="12.77734375" bestFit="1" customWidth="1"/>
  </cols>
  <sheetData>
    <row r="1" spans="1:26" x14ac:dyDescent="0.3">
      <c r="A1" s="95" t="s">
        <v>0</v>
      </c>
      <c r="B1" s="96" t="s">
        <v>1</v>
      </c>
      <c r="C1" s="96" t="s">
        <v>2</v>
      </c>
      <c r="D1" s="97" t="s">
        <v>3</v>
      </c>
      <c r="E1" s="96" t="s">
        <v>4</v>
      </c>
      <c r="F1" s="96" t="s">
        <v>5</v>
      </c>
      <c r="G1" s="96" t="s">
        <v>6</v>
      </c>
      <c r="H1" s="98" t="s">
        <v>7</v>
      </c>
      <c r="I1" s="98" t="s">
        <v>8</v>
      </c>
      <c r="J1" s="98" t="s">
        <v>9</v>
      </c>
      <c r="K1" s="99" t="s">
        <v>72</v>
      </c>
      <c r="L1" s="99" t="s">
        <v>73</v>
      </c>
      <c r="M1" s="99" t="s">
        <v>74</v>
      </c>
      <c r="N1" s="100" t="s">
        <v>180</v>
      </c>
      <c r="O1" s="100" t="s">
        <v>181</v>
      </c>
      <c r="P1" s="100" t="s">
        <v>182</v>
      </c>
      <c r="Q1" s="99" t="s">
        <v>75</v>
      </c>
      <c r="R1" s="99" t="s">
        <v>76</v>
      </c>
      <c r="S1" s="101" t="s">
        <v>11</v>
      </c>
      <c r="T1" s="101" t="s">
        <v>12</v>
      </c>
      <c r="U1" s="101" t="s">
        <v>13</v>
      </c>
      <c r="V1" s="102" t="s">
        <v>14</v>
      </c>
      <c r="W1" s="103" t="s">
        <v>148</v>
      </c>
    </row>
    <row r="2" spans="1:26" ht="28.8" x14ac:dyDescent="0.3">
      <c r="A2" s="121" t="s">
        <v>347</v>
      </c>
      <c r="B2" s="158">
        <v>1</v>
      </c>
      <c r="C2" s="158" t="s">
        <v>30</v>
      </c>
      <c r="D2" s="158">
        <v>6479</v>
      </c>
      <c r="E2" s="158" t="s">
        <v>235</v>
      </c>
      <c r="F2" s="158" t="s">
        <v>209</v>
      </c>
      <c r="G2" s="158" t="s">
        <v>201</v>
      </c>
      <c r="H2" s="158" t="s">
        <v>201</v>
      </c>
      <c r="I2" s="158" t="s">
        <v>209</v>
      </c>
      <c r="J2" s="158" t="s">
        <v>78</v>
      </c>
      <c r="K2" s="158" t="s">
        <v>201</v>
      </c>
      <c r="L2" s="158" t="s">
        <v>209</v>
      </c>
      <c r="M2" s="158" t="s">
        <v>209</v>
      </c>
      <c r="N2" s="158">
        <v>5</v>
      </c>
      <c r="O2" s="158">
        <v>3</v>
      </c>
      <c r="P2" s="158">
        <v>95</v>
      </c>
      <c r="Q2" s="158">
        <v>80</v>
      </c>
      <c r="R2" s="158" t="s">
        <v>209</v>
      </c>
      <c r="S2" s="158" t="s">
        <v>78</v>
      </c>
      <c r="T2" s="158" t="s">
        <v>209</v>
      </c>
      <c r="U2" s="158" t="s">
        <v>209</v>
      </c>
      <c r="V2" s="159" t="s">
        <v>348</v>
      </c>
      <c r="W2" s="157">
        <v>4</v>
      </c>
    </row>
    <row r="3" spans="1:26" ht="28.8" x14ac:dyDescent="0.3">
      <c r="A3" s="130" t="s">
        <v>234</v>
      </c>
      <c r="B3" s="92">
        <v>1</v>
      </c>
      <c r="C3" s="92" t="s">
        <v>34</v>
      </c>
      <c r="D3" s="92">
        <v>2403</v>
      </c>
      <c r="E3" s="92" t="s">
        <v>239</v>
      </c>
      <c r="F3" s="92" t="s">
        <v>209</v>
      </c>
      <c r="G3" s="92" t="s">
        <v>201</v>
      </c>
      <c r="H3" s="92" t="s">
        <v>209</v>
      </c>
      <c r="I3" s="92" t="s">
        <v>209</v>
      </c>
      <c r="J3" s="92" t="s">
        <v>78</v>
      </c>
      <c r="K3" s="92" t="s">
        <v>201</v>
      </c>
      <c r="L3" s="92" t="s">
        <v>209</v>
      </c>
      <c r="M3" s="92" t="s">
        <v>209</v>
      </c>
      <c r="N3" s="92">
        <v>2</v>
      </c>
      <c r="O3" s="92">
        <v>6</v>
      </c>
      <c r="P3" s="92">
        <v>30</v>
      </c>
      <c r="Q3" s="92">
        <v>52</v>
      </c>
      <c r="R3" s="92" t="s">
        <v>209</v>
      </c>
      <c r="S3" s="92" t="s">
        <v>78</v>
      </c>
      <c r="T3" s="92" t="s">
        <v>209</v>
      </c>
      <c r="U3" s="92" t="s">
        <v>209</v>
      </c>
      <c r="V3" s="131" t="s">
        <v>345</v>
      </c>
      <c r="W3" s="92">
        <v>4</v>
      </c>
      <c r="Y3">
        <v>60</v>
      </c>
      <c r="Z3">
        <f>COUNTIF(Tabel1[Team Number],Y3)</f>
        <v>5</v>
      </c>
    </row>
    <row r="4" spans="1:26" x14ac:dyDescent="0.3">
      <c r="A4" s="115" t="s">
        <v>250</v>
      </c>
      <c r="B4" s="91">
        <v>1</v>
      </c>
      <c r="C4" s="116" t="s">
        <v>32</v>
      </c>
      <c r="D4" s="108">
        <v>9091</v>
      </c>
      <c r="E4" s="116" t="s">
        <v>241</v>
      </c>
      <c r="F4" s="91" t="s">
        <v>201</v>
      </c>
      <c r="G4" s="91" t="s">
        <v>209</v>
      </c>
      <c r="H4" s="91" t="s">
        <v>209</v>
      </c>
      <c r="I4" s="91" t="s">
        <v>209</v>
      </c>
      <c r="J4" s="91" t="s">
        <v>78</v>
      </c>
      <c r="K4" s="91" t="s">
        <v>209</v>
      </c>
      <c r="L4" s="91" t="s">
        <v>209</v>
      </c>
      <c r="M4" s="91" t="s">
        <v>209</v>
      </c>
      <c r="N4" s="91">
        <v>0</v>
      </c>
      <c r="O4" s="91">
        <v>0</v>
      </c>
      <c r="P4" s="91">
        <v>0</v>
      </c>
      <c r="Q4" s="91">
        <v>100</v>
      </c>
      <c r="R4" s="91" t="s">
        <v>209</v>
      </c>
      <c r="S4" s="91" t="s">
        <v>78</v>
      </c>
      <c r="T4" s="91" t="s">
        <v>209</v>
      </c>
      <c r="U4" s="91" t="s">
        <v>209</v>
      </c>
      <c r="V4" s="128"/>
      <c r="W4" s="91">
        <v>1</v>
      </c>
      <c r="Y4">
        <v>244</v>
      </c>
      <c r="Z4">
        <f>COUNTIF(Tabel1[Team Number],Y4)</f>
        <v>9</v>
      </c>
    </row>
    <row r="5" spans="1:26" ht="86.4" x14ac:dyDescent="0.3">
      <c r="A5" s="127" t="s">
        <v>283</v>
      </c>
      <c r="B5" s="91">
        <v>1</v>
      </c>
      <c r="C5" s="91" t="s">
        <v>35</v>
      </c>
      <c r="D5" s="91">
        <v>10114</v>
      </c>
      <c r="E5" s="91" t="s">
        <v>241</v>
      </c>
      <c r="F5" s="91" t="s">
        <v>209</v>
      </c>
      <c r="G5" s="91" t="s">
        <v>201</v>
      </c>
      <c r="H5" s="91" t="s">
        <v>201</v>
      </c>
      <c r="I5" s="91" t="s">
        <v>201</v>
      </c>
      <c r="J5" s="91" t="s">
        <v>15</v>
      </c>
      <c r="K5" s="91" t="s">
        <v>201</v>
      </c>
      <c r="L5" s="91" t="s">
        <v>209</v>
      </c>
      <c r="M5" s="91" t="s">
        <v>209</v>
      </c>
      <c r="N5" s="91">
        <v>5</v>
      </c>
      <c r="O5" s="91">
        <v>0</v>
      </c>
      <c r="P5" s="91">
        <v>35</v>
      </c>
      <c r="Q5" s="91">
        <v>60</v>
      </c>
      <c r="R5" s="91" t="s">
        <v>209</v>
      </c>
      <c r="S5" s="91" t="s">
        <v>78</v>
      </c>
      <c r="T5" s="91" t="s">
        <v>209</v>
      </c>
      <c r="U5" s="91" t="s">
        <v>209</v>
      </c>
      <c r="V5" s="128" t="s">
        <v>346</v>
      </c>
      <c r="W5" s="91">
        <v>4</v>
      </c>
      <c r="Y5">
        <v>288</v>
      </c>
      <c r="Z5">
        <f>COUNTIF(Tabel1[Team Number],Y5)</f>
        <v>7</v>
      </c>
    </row>
    <row r="6" spans="1:26" ht="43.2" x14ac:dyDescent="0.3">
      <c r="A6" s="127" t="s">
        <v>238</v>
      </c>
      <c r="B6" s="91">
        <v>2</v>
      </c>
      <c r="C6" s="91" t="s">
        <v>32</v>
      </c>
      <c r="D6" s="91">
        <v>6833</v>
      </c>
      <c r="E6" s="91" t="s">
        <v>241</v>
      </c>
      <c r="F6" s="91" t="s">
        <v>209</v>
      </c>
      <c r="G6" s="91" t="s">
        <v>201</v>
      </c>
      <c r="H6" s="91" t="s">
        <v>201</v>
      </c>
      <c r="I6" s="91" t="s">
        <v>201</v>
      </c>
      <c r="J6" s="91" t="s">
        <v>78</v>
      </c>
      <c r="K6" s="91" t="s">
        <v>201</v>
      </c>
      <c r="L6" s="91" t="s">
        <v>209</v>
      </c>
      <c r="M6" s="91" t="s">
        <v>209</v>
      </c>
      <c r="N6" s="91">
        <v>0</v>
      </c>
      <c r="O6" s="91">
        <v>9</v>
      </c>
      <c r="P6" s="91">
        <v>0</v>
      </c>
      <c r="Q6" s="91">
        <v>76</v>
      </c>
      <c r="R6" s="91" t="s">
        <v>201</v>
      </c>
      <c r="S6" s="91" t="s">
        <v>78</v>
      </c>
      <c r="T6" s="91" t="s">
        <v>209</v>
      </c>
      <c r="U6" s="91" t="s">
        <v>209</v>
      </c>
      <c r="V6" s="128" t="s">
        <v>354</v>
      </c>
      <c r="W6" s="91">
        <v>4</v>
      </c>
      <c r="Y6">
        <v>698</v>
      </c>
      <c r="Z6">
        <f>COUNTIF(Tabel1[Team Number],Y6)</f>
        <v>5</v>
      </c>
    </row>
    <row r="7" spans="1:26" ht="28.8" x14ac:dyDescent="0.3">
      <c r="A7" s="127" t="s">
        <v>234</v>
      </c>
      <c r="B7" s="91">
        <v>2</v>
      </c>
      <c r="C7" s="91" t="s">
        <v>31</v>
      </c>
      <c r="D7" s="91">
        <v>2478</v>
      </c>
      <c r="E7" s="91" t="s">
        <v>239</v>
      </c>
      <c r="F7" s="91" t="s">
        <v>209</v>
      </c>
      <c r="G7" s="91" t="s">
        <v>201</v>
      </c>
      <c r="H7" s="91" t="s">
        <v>201</v>
      </c>
      <c r="I7" s="91" t="s">
        <v>209</v>
      </c>
      <c r="J7" s="91" t="s">
        <v>78</v>
      </c>
      <c r="K7" s="91" t="s">
        <v>201</v>
      </c>
      <c r="L7" s="91" t="s">
        <v>209</v>
      </c>
      <c r="M7" s="91" t="s">
        <v>209</v>
      </c>
      <c r="N7" s="91">
        <v>0</v>
      </c>
      <c r="O7" s="91">
        <v>0</v>
      </c>
      <c r="P7" s="91">
        <v>0</v>
      </c>
      <c r="Q7" s="91">
        <v>100</v>
      </c>
      <c r="R7" s="91" t="s">
        <v>209</v>
      </c>
      <c r="S7" s="91" t="s">
        <v>77</v>
      </c>
      <c r="T7" s="91" t="s">
        <v>201</v>
      </c>
      <c r="U7" s="91" t="s">
        <v>209</v>
      </c>
      <c r="V7" s="128" t="s">
        <v>352</v>
      </c>
      <c r="W7" s="91">
        <v>5</v>
      </c>
      <c r="Y7">
        <v>987</v>
      </c>
      <c r="Z7">
        <f>COUNTIF(Tabel1[Team Number],Y7)</f>
        <v>6</v>
      </c>
    </row>
    <row r="8" spans="1:26" ht="22.2" customHeight="1" x14ac:dyDescent="0.3">
      <c r="A8" s="130" t="s">
        <v>250</v>
      </c>
      <c r="B8" s="92">
        <v>2</v>
      </c>
      <c r="C8" s="92" t="s">
        <v>35</v>
      </c>
      <c r="D8" s="92">
        <v>2662</v>
      </c>
      <c r="E8" s="92" t="s">
        <v>239</v>
      </c>
      <c r="F8" s="92" t="s">
        <v>209</v>
      </c>
      <c r="G8" s="92" t="s">
        <v>209</v>
      </c>
      <c r="H8" s="92" t="s">
        <v>209</v>
      </c>
      <c r="I8" s="92" t="s">
        <v>209</v>
      </c>
      <c r="J8" s="92" t="s">
        <v>78</v>
      </c>
      <c r="K8" s="92" t="s">
        <v>201</v>
      </c>
      <c r="L8" s="92" t="s">
        <v>209</v>
      </c>
      <c r="M8" s="92" t="s">
        <v>209</v>
      </c>
      <c r="N8" s="92">
        <v>0</v>
      </c>
      <c r="O8" s="92">
        <v>0</v>
      </c>
      <c r="P8" s="92">
        <v>0</v>
      </c>
      <c r="Q8" s="92">
        <v>1</v>
      </c>
      <c r="R8" s="92" t="s">
        <v>209</v>
      </c>
      <c r="S8" s="92" t="s">
        <v>78</v>
      </c>
      <c r="T8" s="92" t="s">
        <v>209</v>
      </c>
      <c r="U8" s="92" t="s">
        <v>209</v>
      </c>
      <c r="V8" s="131" t="s">
        <v>353</v>
      </c>
      <c r="W8" s="92">
        <v>2</v>
      </c>
      <c r="Y8">
        <v>991</v>
      </c>
      <c r="Z8">
        <f>COUNTIF(Tabel1[Team Number],Y8)</f>
        <v>8</v>
      </c>
    </row>
    <row r="9" spans="1:26" ht="72" x14ac:dyDescent="0.3">
      <c r="A9" s="130" t="s">
        <v>283</v>
      </c>
      <c r="B9" s="92">
        <v>2</v>
      </c>
      <c r="C9" s="92" t="s">
        <v>33</v>
      </c>
      <c r="D9" s="92">
        <v>991</v>
      </c>
      <c r="E9" s="92" t="s">
        <v>235</v>
      </c>
      <c r="F9" s="92" t="s">
        <v>209</v>
      </c>
      <c r="G9" s="92" t="s">
        <v>201</v>
      </c>
      <c r="H9" s="92" t="s">
        <v>201</v>
      </c>
      <c r="I9" s="92" t="s">
        <v>201</v>
      </c>
      <c r="J9" s="92" t="s">
        <v>78</v>
      </c>
      <c r="K9" s="92" t="s">
        <v>201</v>
      </c>
      <c r="L9" s="92" t="s">
        <v>201</v>
      </c>
      <c r="M9" s="92" t="s">
        <v>209</v>
      </c>
      <c r="N9" s="92">
        <v>1</v>
      </c>
      <c r="O9" s="92">
        <v>9</v>
      </c>
      <c r="P9" s="92">
        <v>25</v>
      </c>
      <c r="Q9" s="92">
        <v>16</v>
      </c>
      <c r="R9" s="92" t="s">
        <v>209</v>
      </c>
      <c r="S9" s="92" t="s">
        <v>78</v>
      </c>
      <c r="T9" s="92" t="s">
        <v>209</v>
      </c>
      <c r="U9" s="92" t="s">
        <v>209</v>
      </c>
      <c r="V9" s="131" t="s">
        <v>355</v>
      </c>
      <c r="W9" s="92">
        <v>4</v>
      </c>
      <c r="Y9">
        <v>996</v>
      </c>
      <c r="Z9">
        <f>COUNTIF(Tabel1[Team Number],Y9)</f>
        <v>4</v>
      </c>
    </row>
    <row r="10" spans="1:26" ht="19.2" customHeight="1" x14ac:dyDescent="0.3">
      <c r="A10" s="130" t="s">
        <v>234</v>
      </c>
      <c r="B10" s="92">
        <v>3</v>
      </c>
      <c r="C10" s="92" t="s">
        <v>31</v>
      </c>
      <c r="D10" s="92">
        <v>3424</v>
      </c>
      <c r="E10" s="92" t="s">
        <v>241</v>
      </c>
      <c r="F10" s="92" t="s">
        <v>209</v>
      </c>
      <c r="G10" s="92" t="s">
        <v>201</v>
      </c>
      <c r="H10" s="92" t="s">
        <v>209</v>
      </c>
      <c r="I10" s="92" t="s">
        <v>209</v>
      </c>
      <c r="J10" s="92" t="s">
        <v>78</v>
      </c>
      <c r="K10" s="92" t="s">
        <v>201</v>
      </c>
      <c r="L10" s="92" t="s">
        <v>209</v>
      </c>
      <c r="M10" s="92" t="s">
        <v>209</v>
      </c>
      <c r="N10" s="92">
        <v>0</v>
      </c>
      <c r="O10" s="92">
        <v>0</v>
      </c>
      <c r="P10" s="92">
        <v>0</v>
      </c>
      <c r="Q10" s="92">
        <v>100</v>
      </c>
      <c r="R10" s="92" t="s">
        <v>209</v>
      </c>
      <c r="S10" s="92" t="s">
        <v>78</v>
      </c>
      <c r="T10" s="92" t="s">
        <v>209</v>
      </c>
      <c r="U10" s="92" t="s">
        <v>209</v>
      </c>
      <c r="V10" s="92"/>
      <c r="W10" s="92">
        <v>5</v>
      </c>
      <c r="Y10">
        <v>1165</v>
      </c>
      <c r="Z10">
        <f>COUNTIF(Tabel1[Team Number],Y10)</f>
        <v>5</v>
      </c>
    </row>
    <row r="11" spans="1:26" ht="16.95" customHeight="1" x14ac:dyDescent="0.3">
      <c r="A11" s="127" t="s">
        <v>250</v>
      </c>
      <c r="B11" s="91">
        <v>3</v>
      </c>
      <c r="C11" s="91" t="s">
        <v>33</v>
      </c>
      <c r="D11" s="91">
        <v>10506</v>
      </c>
      <c r="E11" s="91" t="s">
        <v>241</v>
      </c>
      <c r="F11" s="91" t="s">
        <v>209</v>
      </c>
      <c r="G11" s="91" t="s">
        <v>201</v>
      </c>
      <c r="H11" s="91" t="s">
        <v>209</v>
      </c>
      <c r="I11" s="91" t="s">
        <v>209</v>
      </c>
      <c r="J11" s="91" t="s">
        <v>78</v>
      </c>
      <c r="K11" s="91" t="s">
        <v>201</v>
      </c>
      <c r="L11" s="91" t="s">
        <v>209</v>
      </c>
      <c r="M11" s="91" t="s">
        <v>209</v>
      </c>
      <c r="N11" s="91">
        <v>0</v>
      </c>
      <c r="O11" s="91">
        <v>0</v>
      </c>
      <c r="P11" s="91">
        <v>0</v>
      </c>
      <c r="Q11" s="91">
        <v>1</v>
      </c>
      <c r="R11" s="91" t="s">
        <v>209</v>
      </c>
      <c r="S11" s="91" t="s">
        <v>78</v>
      </c>
      <c r="T11" s="91" t="s">
        <v>209</v>
      </c>
      <c r="U11" s="91" t="s">
        <v>209</v>
      </c>
      <c r="V11" s="91" t="s">
        <v>357</v>
      </c>
      <c r="W11" s="91">
        <v>2</v>
      </c>
      <c r="Y11">
        <v>1212</v>
      </c>
      <c r="Z11">
        <f>COUNTIF(Tabel1[Team Number],Y11)</f>
        <v>3</v>
      </c>
    </row>
    <row r="12" spans="1:26" ht="72" x14ac:dyDescent="0.3">
      <c r="A12" s="130" t="s">
        <v>218</v>
      </c>
      <c r="B12" s="92">
        <v>3</v>
      </c>
      <c r="C12" s="92" t="s">
        <v>34</v>
      </c>
      <c r="D12" s="92">
        <v>9059</v>
      </c>
      <c r="E12" s="92" t="s">
        <v>239</v>
      </c>
      <c r="F12" s="92" t="s">
        <v>209</v>
      </c>
      <c r="G12" s="92" t="s">
        <v>201</v>
      </c>
      <c r="H12" s="92" t="s">
        <v>201</v>
      </c>
      <c r="I12" s="92" t="s">
        <v>209</v>
      </c>
      <c r="J12" s="92" t="s">
        <v>78</v>
      </c>
      <c r="K12" s="92" t="s">
        <v>209</v>
      </c>
      <c r="L12" s="92" t="s">
        <v>209</v>
      </c>
      <c r="M12" s="92" t="s">
        <v>209</v>
      </c>
      <c r="N12" s="92">
        <v>0</v>
      </c>
      <c r="O12" s="92">
        <v>3</v>
      </c>
      <c r="P12" s="92">
        <v>0</v>
      </c>
      <c r="Q12" s="92">
        <v>1</v>
      </c>
      <c r="R12" s="92" t="s">
        <v>209</v>
      </c>
      <c r="S12" s="92" t="s">
        <v>78</v>
      </c>
      <c r="T12" s="92" t="s">
        <v>209</v>
      </c>
      <c r="U12" s="92" t="s">
        <v>209</v>
      </c>
      <c r="V12" s="131" t="s">
        <v>360</v>
      </c>
      <c r="W12" s="92">
        <v>3</v>
      </c>
      <c r="Y12">
        <v>1410</v>
      </c>
      <c r="Z12">
        <f>COUNTIF(Tabel1[Team Number],Y12)</f>
        <v>7</v>
      </c>
    </row>
    <row r="13" spans="1:26" ht="12" customHeight="1" x14ac:dyDescent="0.3">
      <c r="A13" s="127" t="s">
        <v>283</v>
      </c>
      <c r="B13" s="91">
        <v>3</v>
      </c>
      <c r="C13" s="91" t="s">
        <v>32</v>
      </c>
      <c r="D13" s="91">
        <v>987</v>
      </c>
      <c r="E13" s="91" t="s">
        <v>235</v>
      </c>
      <c r="F13" s="91" t="s">
        <v>209</v>
      </c>
      <c r="G13" s="91" t="s">
        <v>201</v>
      </c>
      <c r="H13" s="91" t="s">
        <v>201</v>
      </c>
      <c r="I13" s="91" t="s">
        <v>201</v>
      </c>
      <c r="J13" s="91" t="s">
        <v>78</v>
      </c>
      <c r="K13" s="91" t="s">
        <v>209</v>
      </c>
      <c r="L13" s="91" t="s">
        <v>209</v>
      </c>
      <c r="M13" s="91" t="s">
        <v>209</v>
      </c>
      <c r="N13" s="91">
        <v>4</v>
      </c>
      <c r="O13" s="91">
        <v>18</v>
      </c>
      <c r="P13" s="91">
        <v>140</v>
      </c>
      <c r="Q13" s="91">
        <v>42</v>
      </c>
      <c r="R13" s="91" t="s">
        <v>209</v>
      </c>
      <c r="S13" s="91" t="s">
        <v>78</v>
      </c>
      <c r="T13" s="91" t="s">
        <v>201</v>
      </c>
      <c r="U13" s="91" t="s">
        <v>209</v>
      </c>
      <c r="V13" s="128" t="s">
        <v>359</v>
      </c>
      <c r="W13" s="91">
        <v>4</v>
      </c>
      <c r="Y13">
        <v>1828</v>
      </c>
      <c r="Z13">
        <f>COUNTIF(Tabel1[Team Number],Y13)</f>
        <v>6</v>
      </c>
    </row>
    <row r="14" spans="1:26" x14ac:dyDescent="0.3">
      <c r="A14" s="130" t="s">
        <v>234</v>
      </c>
      <c r="B14" s="92">
        <v>4</v>
      </c>
      <c r="C14" s="92" t="s">
        <v>32</v>
      </c>
      <c r="D14" s="92">
        <v>8714</v>
      </c>
      <c r="E14" s="92" t="s">
        <v>235</v>
      </c>
      <c r="F14" s="92" t="s">
        <v>209</v>
      </c>
      <c r="G14" s="92" t="s">
        <v>201</v>
      </c>
      <c r="H14" s="92" t="s">
        <v>209</v>
      </c>
      <c r="I14" s="92" t="s">
        <v>209</v>
      </c>
      <c r="J14" s="92" t="s">
        <v>78</v>
      </c>
      <c r="K14" s="92" t="s">
        <v>209</v>
      </c>
      <c r="L14" s="92" t="s">
        <v>209</v>
      </c>
      <c r="M14" s="92" t="s">
        <v>209</v>
      </c>
      <c r="N14" s="92">
        <v>2</v>
      </c>
      <c r="O14" s="92">
        <v>6</v>
      </c>
      <c r="P14" s="92">
        <v>10</v>
      </c>
      <c r="Q14" s="92">
        <v>23</v>
      </c>
      <c r="R14" s="92" t="s">
        <v>209</v>
      </c>
      <c r="S14" s="92" t="s">
        <v>78</v>
      </c>
      <c r="T14" s="92" t="s">
        <v>209</v>
      </c>
      <c r="U14" s="92" t="s">
        <v>209</v>
      </c>
      <c r="V14" s="131"/>
      <c r="W14" s="92">
        <v>3</v>
      </c>
      <c r="Y14">
        <v>2080</v>
      </c>
      <c r="Z14">
        <f>COUNTIF(Tabel1[Team Number],Y14)</f>
        <v>6</v>
      </c>
    </row>
    <row r="15" spans="1:26" x14ac:dyDescent="0.3">
      <c r="A15" s="127" t="s">
        <v>250</v>
      </c>
      <c r="B15" s="91">
        <v>4</v>
      </c>
      <c r="C15" s="91" t="s">
        <v>31</v>
      </c>
      <c r="D15" s="91">
        <v>244</v>
      </c>
      <c r="E15" s="91" t="s">
        <v>241</v>
      </c>
      <c r="F15" s="91" t="s">
        <v>209</v>
      </c>
      <c r="G15" s="91" t="s">
        <v>201</v>
      </c>
      <c r="H15" s="91" t="s">
        <v>209</v>
      </c>
      <c r="I15" s="91" t="s">
        <v>201</v>
      </c>
      <c r="J15" s="91" t="s">
        <v>78</v>
      </c>
      <c r="K15" s="91" t="s">
        <v>201</v>
      </c>
      <c r="L15" s="91" t="s">
        <v>209</v>
      </c>
      <c r="M15" s="91" t="s">
        <v>209</v>
      </c>
      <c r="N15" s="91">
        <v>3</v>
      </c>
      <c r="O15" s="91">
        <v>6</v>
      </c>
      <c r="P15" s="91">
        <v>20</v>
      </c>
      <c r="Q15" s="91">
        <v>36</v>
      </c>
      <c r="R15" s="91" t="s">
        <v>209</v>
      </c>
      <c r="S15" s="91" t="s">
        <v>78</v>
      </c>
      <c r="T15" s="91" t="s">
        <v>209</v>
      </c>
      <c r="U15" s="91" t="s">
        <v>209</v>
      </c>
      <c r="V15" s="91" t="s">
        <v>373</v>
      </c>
      <c r="W15" s="91">
        <v>3</v>
      </c>
      <c r="Y15">
        <v>2122</v>
      </c>
      <c r="Z15">
        <f>COUNTIF(Tabel1[Team Number],Y15)</f>
        <v>5</v>
      </c>
    </row>
    <row r="16" spans="1:26" ht="19.2" customHeight="1" x14ac:dyDescent="0.3">
      <c r="A16" s="127" t="s">
        <v>218</v>
      </c>
      <c r="B16" s="91">
        <v>4</v>
      </c>
      <c r="C16" s="91" t="s">
        <v>35</v>
      </c>
      <c r="D16" s="91">
        <v>2486</v>
      </c>
      <c r="E16" s="91" t="s">
        <v>239</v>
      </c>
      <c r="F16" s="91" t="s">
        <v>209</v>
      </c>
      <c r="G16" s="91" t="s">
        <v>201</v>
      </c>
      <c r="H16" s="91" t="s">
        <v>201</v>
      </c>
      <c r="I16" s="91" t="s">
        <v>201</v>
      </c>
      <c r="J16" s="91" t="s">
        <v>78</v>
      </c>
      <c r="K16" s="91" t="s">
        <v>201</v>
      </c>
      <c r="L16" s="91" t="s">
        <v>209</v>
      </c>
      <c r="M16" s="91" t="s">
        <v>209</v>
      </c>
      <c r="N16" s="91">
        <v>0</v>
      </c>
      <c r="O16" s="91">
        <v>6</v>
      </c>
      <c r="P16" s="91">
        <v>25</v>
      </c>
      <c r="Q16" s="91">
        <v>86</v>
      </c>
      <c r="R16" s="91" t="s">
        <v>201</v>
      </c>
      <c r="S16" s="91" t="s">
        <v>78</v>
      </c>
      <c r="T16" s="91" t="s">
        <v>209</v>
      </c>
      <c r="U16" s="91" t="s">
        <v>209</v>
      </c>
      <c r="V16" s="91"/>
      <c r="W16" s="91">
        <v>4</v>
      </c>
      <c r="Y16">
        <v>2403</v>
      </c>
      <c r="Z16">
        <f>COUNTIF(Tabel1[Team Number],Y16)</f>
        <v>5</v>
      </c>
    </row>
    <row r="17" spans="1:26" x14ac:dyDescent="0.3">
      <c r="A17" s="130" t="s">
        <v>283</v>
      </c>
      <c r="B17" s="92">
        <v>4</v>
      </c>
      <c r="C17" s="92" t="s">
        <v>33</v>
      </c>
      <c r="D17" s="92">
        <v>288</v>
      </c>
      <c r="E17" s="92" t="s">
        <v>235</v>
      </c>
      <c r="F17" s="92" t="s">
        <v>209</v>
      </c>
      <c r="G17" s="92" t="s">
        <v>201</v>
      </c>
      <c r="H17" s="92" t="s">
        <v>209</v>
      </c>
      <c r="I17" s="92" t="s">
        <v>201</v>
      </c>
      <c r="J17" s="92" t="s">
        <v>78</v>
      </c>
      <c r="K17" s="92" t="s">
        <v>201</v>
      </c>
      <c r="L17" s="92" t="s">
        <v>209</v>
      </c>
      <c r="M17" s="92" t="s">
        <v>209</v>
      </c>
      <c r="N17" s="92">
        <v>3</v>
      </c>
      <c r="O17" s="92">
        <v>0</v>
      </c>
      <c r="P17" s="92">
        <v>90</v>
      </c>
      <c r="Q17" s="92">
        <v>31</v>
      </c>
      <c r="R17" s="92" t="s">
        <v>209</v>
      </c>
      <c r="S17" s="92" t="s">
        <v>78</v>
      </c>
      <c r="T17" s="92" t="s">
        <v>209</v>
      </c>
      <c r="U17" s="92" t="s">
        <v>201</v>
      </c>
      <c r="V17" s="92" t="s">
        <v>372</v>
      </c>
      <c r="W17" s="92">
        <v>3</v>
      </c>
      <c r="Y17">
        <v>2478</v>
      </c>
      <c r="Z17">
        <f>COUNTIF(Tabel1[Team Number],Y17)</f>
        <v>5</v>
      </c>
    </row>
    <row r="18" spans="1:26" x14ac:dyDescent="0.3">
      <c r="A18" s="130" t="s">
        <v>234</v>
      </c>
      <c r="B18" s="92">
        <v>5</v>
      </c>
      <c r="C18" s="92" t="s">
        <v>31</v>
      </c>
      <c r="D18" s="92">
        <v>6352</v>
      </c>
      <c r="E18" s="92" t="s">
        <v>235</v>
      </c>
      <c r="F18" s="92" t="s">
        <v>209</v>
      </c>
      <c r="G18" s="92" t="s">
        <v>201</v>
      </c>
      <c r="H18" s="92" t="s">
        <v>201</v>
      </c>
      <c r="I18" s="92" t="s">
        <v>209</v>
      </c>
      <c r="J18" s="92" t="s">
        <v>78</v>
      </c>
      <c r="K18" s="92" t="s">
        <v>201</v>
      </c>
      <c r="L18" s="92" t="s">
        <v>209</v>
      </c>
      <c r="M18" s="92" t="s">
        <v>209</v>
      </c>
      <c r="N18" s="92">
        <v>0</v>
      </c>
      <c r="O18" s="92">
        <v>6</v>
      </c>
      <c r="P18" s="92">
        <v>15</v>
      </c>
      <c r="Q18" s="92">
        <v>72</v>
      </c>
      <c r="R18" s="92" t="s">
        <v>209</v>
      </c>
      <c r="S18" s="92" t="s">
        <v>78</v>
      </c>
      <c r="T18" s="92" t="s">
        <v>209</v>
      </c>
      <c r="U18" s="92" t="s">
        <v>209</v>
      </c>
      <c r="V18" s="92"/>
      <c r="W18" s="92">
        <v>4</v>
      </c>
      <c r="Y18">
        <v>2486</v>
      </c>
      <c r="Z18">
        <f>COUNTIF(Tabel1[Team Number],Y18)</f>
        <v>4</v>
      </c>
    </row>
    <row r="19" spans="1:26" x14ac:dyDescent="0.3">
      <c r="A19" s="127" t="s">
        <v>250</v>
      </c>
      <c r="B19" s="91">
        <v>5</v>
      </c>
      <c r="C19" s="91" t="s">
        <v>33</v>
      </c>
      <c r="D19" s="91">
        <v>3944</v>
      </c>
      <c r="E19" s="91" t="s">
        <v>239</v>
      </c>
      <c r="F19" s="91" t="s">
        <v>209</v>
      </c>
      <c r="G19" s="91" t="s">
        <v>201</v>
      </c>
      <c r="H19" s="91" t="s">
        <v>209</v>
      </c>
      <c r="I19" s="91" t="s">
        <v>209</v>
      </c>
      <c r="J19" s="91" t="s">
        <v>78</v>
      </c>
      <c r="K19" s="91" t="s">
        <v>209</v>
      </c>
      <c r="L19" s="91" t="s">
        <v>209</v>
      </c>
      <c r="M19" s="91" t="s">
        <v>209</v>
      </c>
      <c r="N19" s="91">
        <v>0</v>
      </c>
      <c r="O19" s="91">
        <v>0</v>
      </c>
      <c r="P19" s="91">
        <v>0</v>
      </c>
      <c r="Q19" s="91">
        <v>1</v>
      </c>
      <c r="R19" s="91" t="s">
        <v>209</v>
      </c>
      <c r="S19" s="91" t="s">
        <v>78</v>
      </c>
      <c r="T19" s="91" t="s">
        <v>201</v>
      </c>
      <c r="U19" s="91" t="s">
        <v>209</v>
      </c>
      <c r="V19" s="91"/>
      <c r="W19" s="91">
        <v>3</v>
      </c>
      <c r="Y19">
        <v>2662</v>
      </c>
      <c r="Z19">
        <f>COUNTIF(Tabel1[Team Number],Y19)</f>
        <v>6</v>
      </c>
    </row>
    <row r="20" spans="1:26" x14ac:dyDescent="0.3">
      <c r="A20" s="127" t="s">
        <v>378</v>
      </c>
      <c r="B20" s="91">
        <v>5</v>
      </c>
      <c r="C20" s="91" t="s">
        <v>34</v>
      </c>
      <c r="D20" s="91">
        <v>9534</v>
      </c>
      <c r="E20" s="91" t="s">
        <v>235</v>
      </c>
      <c r="F20" s="91" t="s">
        <v>209</v>
      </c>
      <c r="G20" s="91" t="s">
        <v>209</v>
      </c>
      <c r="H20" s="91" t="s">
        <v>209</v>
      </c>
      <c r="I20" s="91" t="s">
        <v>209</v>
      </c>
      <c r="J20" s="91" t="s">
        <v>78</v>
      </c>
      <c r="K20" s="91" t="s">
        <v>209</v>
      </c>
      <c r="L20" s="91" t="s">
        <v>209</v>
      </c>
      <c r="M20" s="91" t="s">
        <v>209</v>
      </c>
      <c r="N20" s="91">
        <v>0</v>
      </c>
      <c r="O20" s="91">
        <v>0</v>
      </c>
      <c r="P20" s="91">
        <v>0</v>
      </c>
      <c r="Q20" s="91">
        <v>1</v>
      </c>
      <c r="R20" s="91" t="s">
        <v>209</v>
      </c>
      <c r="S20" s="91" t="s">
        <v>78</v>
      </c>
      <c r="T20" s="91" t="s">
        <v>209</v>
      </c>
      <c r="U20" s="91" t="s">
        <v>209</v>
      </c>
      <c r="V20" s="91" t="s">
        <v>379</v>
      </c>
      <c r="W20" s="91">
        <v>2</v>
      </c>
      <c r="Y20">
        <v>2840</v>
      </c>
      <c r="Z20">
        <f>COUNTIF(Tabel1[Team Number],Y20)</f>
        <v>7</v>
      </c>
    </row>
    <row r="21" spans="1:26" x14ac:dyDescent="0.3">
      <c r="A21" s="130" t="s">
        <v>218</v>
      </c>
      <c r="B21" s="92">
        <v>5</v>
      </c>
      <c r="C21" s="92" t="s">
        <v>35</v>
      </c>
      <c r="D21" s="92">
        <v>6413</v>
      </c>
      <c r="E21" s="92" t="s">
        <v>241</v>
      </c>
      <c r="F21" s="92" t="s">
        <v>201</v>
      </c>
      <c r="G21" s="92" t="s">
        <v>201</v>
      </c>
      <c r="H21" s="92" t="s">
        <v>209</v>
      </c>
      <c r="I21" s="92" t="s">
        <v>209</v>
      </c>
      <c r="J21" s="92" t="s">
        <v>78</v>
      </c>
      <c r="K21" s="92" t="s">
        <v>209</v>
      </c>
      <c r="L21" s="92" t="s">
        <v>209</v>
      </c>
      <c r="M21" s="92" t="s">
        <v>209</v>
      </c>
      <c r="N21" s="92">
        <v>0</v>
      </c>
      <c r="O21" s="92">
        <v>0</v>
      </c>
      <c r="P21" s="92">
        <v>0</v>
      </c>
      <c r="Q21" s="92">
        <v>100</v>
      </c>
      <c r="R21" s="92" t="s">
        <v>209</v>
      </c>
      <c r="S21" s="92" t="s">
        <v>78</v>
      </c>
      <c r="T21" s="92" t="s">
        <v>209</v>
      </c>
      <c r="U21" s="92" t="s">
        <v>209</v>
      </c>
      <c r="V21" s="92"/>
      <c r="W21" s="92">
        <v>5</v>
      </c>
      <c r="Y21">
        <v>3009</v>
      </c>
      <c r="Z21">
        <f>COUNTIF(Tabel1[Team Number],Y21)</f>
        <v>6</v>
      </c>
    </row>
    <row r="22" spans="1:26" x14ac:dyDescent="0.3">
      <c r="A22" s="130" t="s">
        <v>283</v>
      </c>
      <c r="B22" s="92">
        <v>5</v>
      </c>
      <c r="C22" s="92" t="s">
        <v>32</v>
      </c>
      <c r="D22" s="92">
        <v>1165</v>
      </c>
      <c r="E22" s="92" t="s">
        <v>239</v>
      </c>
      <c r="F22" s="92" t="s">
        <v>209</v>
      </c>
      <c r="G22" s="92" t="s">
        <v>201</v>
      </c>
      <c r="H22" s="92" t="s">
        <v>209</v>
      </c>
      <c r="I22" s="92" t="s">
        <v>209</v>
      </c>
      <c r="J22" s="92" t="s">
        <v>78</v>
      </c>
      <c r="K22" s="92" t="s">
        <v>201</v>
      </c>
      <c r="L22" s="92" t="s">
        <v>209</v>
      </c>
      <c r="M22" s="92" t="s">
        <v>209</v>
      </c>
      <c r="N22" s="92">
        <v>0</v>
      </c>
      <c r="O22" s="92">
        <v>0</v>
      </c>
      <c r="P22" s="92">
        <v>0</v>
      </c>
      <c r="Q22" s="92">
        <v>100</v>
      </c>
      <c r="R22" s="92" t="s">
        <v>209</v>
      </c>
      <c r="S22" s="92" t="s">
        <v>78</v>
      </c>
      <c r="T22" s="92" t="s">
        <v>201</v>
      </c>
      <c r="U22" s="92" t="s">
        <v>209</v>
      </c>
      <c r="V22" s="92" t="s">
        <v>381</v>
      </c>
      <c r="W22" s="92">
        <v>3</v>
      </c>
      <c r="Y22">
        <v>3019</v>
      </c>
      <c r="Z22">
        <f>COUNTIF(Tabel1[Team Number],Y22)</f>
        <v>5</v>
      </c>
    </row>
    <row r="23" spans="1:26" x14ac:dyDescent="0.3">
      <c r="A23" s="130" t="s">
        <v>234</v>
      </c>
      <c r="B23" s="92">
        <v>6</v>
      </c>
      <c r="C23" s="92" t="s">
        <v>33</v>
      </c>
      <c r="D23" s="92">
        <v>11176</v>
      </c>
      <c r="E23" s="92" t="s">
        <v>235</v>
      </c>
      <c r="F23" s="92" t="s">
        <v>209</v>
      </c>
      <c r="G23" s="92" t="s">
        <v>201</v>
      </c>
      <c r="H23" s="92" t="s">
        <v>209</v>
      </c>
      <c r="I23" s="92" t="s">
        <v>209</v>
      </c>
      <c r="J23" s="92" t="s">
        <v>78</v>
      </c>
      <c r="K23" s="92" t="s">
        <v>201</v>
      </c>
      <c r="L23" s="92" t="s">
        <v>209</v>
      </c>
      <c r="M23" s="92" t="s">
        <v>209</v>
      </c>
      <c r="N23" s="92">
        <v>0</v>
      </c>
      <c r="O23" s="92">
        <v>0</v>
      </c>
      <c r="P23" s="92">
        <v>0</v>
      </c>
      <c r="Q23" s="92">
        <v>100</v>
      </c>
      <c r="R23" s="92" t="s">
        <v>209</v>
      </c>
      <c r="S23" s="92" t="s">
        <v>78</v>
      </c>
      <c r="T23" s="92" t="s">
        <v>201</v>
      </c>
      <c r="U23" s="92" t="s">
        <v>209</v>
      </c>
      <c r="V23" s="92" t="s">
        <v>385</v>
      </c>
      <c r="W23" s="92">
        <v>5</v>
      </c>
      <c r="Y23">
        <v>3216</v>
      </c>
      <c r="Z23">
        <f>COUNTIF(Tabel1[Team Number],Y23)</f>
        <v>6</v>
      </c>
    </row>
    <row r="24" spans="1:26" x14ac:dyDescent="0.3">
      <c r="A24" s="127" t="s">
        <v>253</v>
      </c>
      <c r="B24" s="91">
        <v>6</v>
      </c>
      <c r="C24" s="91" t="s">
        <v>34</v>
      </c>
      <c r="D24" s="91">
        <v>8012</v>
      </c>
      <c r="E24" s="91" t="s">
        <v>241</v>
      </c>
      <c r="F24" s="91" t="s">
        <v>209</v>
      </c>
      <c r="G24" s="91" t="s">
        <v>201</v>
      </c>
      <c r="H24" s="91" t="s">
        <v>209</v>
      </c>
      <c r="I24" s="91" t="s">
        <v>209</v>
      </c>
      <c r="J24" s="91" t="s">
        <v>78</v>
      </c>
      <c r="K24" s="91" t="s">
        <v>209</v>
      </c>
      <c r="L24" s="91" t="s">
        <v>209</v>
      </c>
      <c r="M24" s="91" t="s">
        <v>209</v>
      </c>
      <c r="N24" s="91">
        <v>0</v>
      </c>
      <c r="O24" s="91">
        <v>0</v>
      </c>
      <c r="P24" s="91">
        <v>0</v>
      </c>
      <c r="Q24" s="91">
        <v>100</v>
      </c>
      <c r="R24" s="91" t="s">
        <v>209</v>
      </c>
      <c r="S24" s="91" t="s">
        <v>78</v>
      </c>
      <c r="T24" s="91" t="s">
        <v>201</v>
      </c>
      <c r="U24" s="91" t="s">
        <v>209</v>
      </c>
      <c r="V24" s="91"/>
      <c r="W24" s="91">
        <v>3</v>
      </c>
      <c r="Y24">
        <v>3243</v>
      </c>
      <c r="Z24">
        <f>COUNTIF(Tabel1[Team Number],Y24)</f>
        <v>5</v>
      </c>
    </row>
    <row r="25" spans="1:26" x14ac:dyDescent="0.3">
      <c r="A25" s="127" t="s">
        <v>218</v>
      </c>
      <c r="B25" s="91">
        <v>6</v>
      </c>
      <c r="C25" s="91" t="s">
        <v>35</v>
      </c>
      <c r="D25" s="91">
        <v>11100</v>
      </c>
      <c r="E25" s="91" t="s">
        <v>239</v>
      </c>
      <c r="F25" s="91" t="s">
        <v>209</v>
      </c>
      <c r="G25" s="91" t="s">
        <v>201</v>
      </c>
      <c r="H25" s="91" t="s">
        <v>201</v>
      </c>
      <c r="I25" s="91" t="s">
        <v>209</v>
      </c>
      <c r="J25" s="91" t="s">
        <v>78</v>
      </c>
      <c r="K25" s="91" t="s">
        <v>209</v>
      </c>
      <c r="L25" s="91" t="s">
        <v>209</v>
      </c>
      <c r="M25" s="91" t="s">
        <v>209</v>
      </c>
      <c r="N25" s="91">
        <v>0</v>
      </c>
      <c r="O25" s="91">
        <v>0</v>
      </c>
      <c r="P25" s="91">
        <v>0</v>
      </c>
      <c r="Q25" s="91">
        <v>100</v>
      </c>
      <c r="R25" s="91" t="s">
        <v>209</v>
      </c>
      <c r="S25" s="91" t="s">
        <v>78</v>
      </c>
      <c r="T25" s="91" t="s">
        <v>209</v>
      </c>
      <c r="U25" s="91" t="s">
        <v>209</v>
      </c>
      <c r="V25" s="91" t="s">
        <v>386</v>
      </c>
      <c r="W25" s="91">
        <v>5</v>
      </c>
      <c r="Y25">
        <v>3245</v>
      </c>
      <c r="Z25">
        <f>COUNTIF(Tabel1[Team Number],Y25)</f>
        <v>5</v>
      </c>
    </row>
    <row r="26" spans="1:26" x14ac:dyDescent="0.3">
      <c r="A26" s="130" t="s">
        <v>283</v>
      </c>
      <c r="B26" s="92">
        <v>6</v>
      </c>
      <c r="C26" s="92" t="s">
        <v>31</v>
      </c>
      <c r="D26" s="92">
        <v>10980</v>
      </c>
      <c r="E26" s="92" t="s">
        <v>235</v>
      </c>
      <c r="F26" s="92" t="s">
        <v>209</v>
      </c>
      <c r="G26" s="92" t="s">
        <v>201</v>
      </c>
      <c r="H26" s="92" t="s">
        <v>209</v>
      </c>
      <c r="I26" s="92" t="s">
        <v>209</v>
      </c>
      <c r="J26" s="92" t="s">
        <v>78</v>
      </c>
      <c r="K26" s="92" t="s">
        <v>201</v>
      </c>
      <c r="L26" s="92" t="s">
        <v>209</v>
      </c>
      <c r="M26" s="92" t="s">
        <v>209</v>
      </c>
      <c r="N26" s="92">
        <v>2</v>
      </c>
      <c r="O26" s="92">
        <v>6</v>
      </c>
      <c r="P26" s="92">
        <v>90</v>
      </c>
      <c r="Q26" s="92">
        <v>59</v>
      </c>
      <c r="R26" s="92" t="s">
        <v>209</v>
      </c>
      <c r="S26" s="92" t="s">
        <v>78</v>
      </c>
      <c r="T26" s="92" t="s">
        <v>209</v>
      </c>
      <c r="U26" s="92" t="s">
        <v>209</v>
      </c>
      <c r="V26" s="92"/>
      <c r="W26" s="92">
        <v>2</v>
      </c>
      <c r="Y26">
        <v>3424</v>
      </c>
      <c r="Z26">
        <f>COUNTIF(Tabel1[Team Number],Y26)</f>
        <v>6</v>
      </c>
    </row>
    <row r="27" spans="1:26" x14ac:dyDescent="0.3">
      <c r="A27" s="113" t="s">
        <v>253</v>
      </c>
      <c r="B27" s="92">
        <v>7</v>
      </c>
      <c r="C27" s="114" t="s">
        <v>34</v>
      </c>
      <c r="D27" s="111">
        <v>9777</v>
      </c>
      <c r="E27" s="114" t="s">
        <v>241</v>
      </c>
      <c r="F27" s="92" t="s">
        <v>209</v>
      </c>
      <c r="G27" s="92" t="s">
        <v>201</v>
      </c>
      <c r="H27" s="92" t="s">
        <v>209</v>
      </c>
      <c r="I27" s="92" t="s">
        <v>209</v>
      </c>
      <c r="J27" s="92" t="s">
        <v>78</v>
      </c>
      <c r="K27" s="92" t="s">
        <v>209</v>
      </c>
      <c r="L27" s="92" t="s">
        <v>209</v>
      </c>
      <c r="M27" s="92" t="s">
        <v>209</v>
      </c>
      <c r="N27" s="92">
        <v>4</v>
      </c>
      <c r="O27" s="92">
        <v>0</v>
      </c>
      <c r="P27" s="92">
        <v>0</v>
      </c>
      <c r="Q27" s="92">
        <v>25</v>
      </c>
      <c r="R27" s="92" t="s">
        <v>201</v>
      </c>
      <c r="S27" s="92" t="s">
        <v>78</v>
      </c>
      <c r="T27" s="92" t="s">
        <v>209</v>
      </c>
      <c r="U27" s="92" t="s">
        <v>209</v>
      </c>
      <c r="V27" s="114"/>
      <c r="W27" s="92">
        <v>3</v>
      </c>
      <c r="Y27">
        <v>3944</v>
      </c>
      <c r="Z27">
        <f>COUNTIF(Tabel1[Team Number],Y27)</f>
        <v>4</v>
      </c>
    </row>
    <row r="28" spans="1:26" x14ac:dyDescent="0.3">
      <c r="A28" s="127" t="s">
        <v>218</v>
      </c>
      <c r="B28" s="91">
        <v>7</v>
      </c>
      <c r="C28" s="91" t="s">
        <v>35</v>
      </c>
      <c r="D28" s="91">
        <v>9501</v>
      </c>
      <c r="E28" s="91" t="s">
        <v>239</v>
      </c>
      <c r="F28" s="91" t="s">
        <v>209</v>
      </c>
      <c r="G28" s="91" t="s">
        <v>201</v>
      </c>
      <c r="H28" s="91" t="s">
        <v>201</v>
      </c>
      <c r="I28" s="91" t="s">
        <v>201</v>
      </c>
      <c r="J28" s="91" t="s">
        <v>78</v>
      </c>
      <c r="K28" s="91" t="s">
        <v>201</v>
      </c>
      <c r="L28" s="91" t="s">
        <v>209</v>
      </c>
      <c r="M28" s="91" t="s">
        <v>201</v>
      </c>
      <c r="N28" s="91">
        <v>0</v>
      </c>
      <c r="O28" s="91">
        <v>0</v>
      </c>
      <c r="P28" s="91">
        <v>35</v>
      </c>
      <c r="Q28" s="91">
        <v>100</v>
      </c>
      <c r="R28" s="91" t="s">
        <v>209</v>
      </c>
      <c r="S28" s="91" t="s">
        <v>78</v>
      </c>
      <c r="T28" s="91" t="s">
        <v>201</v>
      </c>
      <c r="U28" s="91" t="s">
        <v>209</v>
      </c>
      <c r="V28" s="91" t="s">
        <v>392</v>
      </c>
      <c r="W28" s="91">
        <v>4</v>
      </c>
      <c r="Y28">
        <v>4146</v>
      </c>
      <c r="Z28">
        <f>COUNTIF(Tabel1[Team Number],Y28)</f>
        <v>4</v>
      </c>
    </row>
    <row r="29" spans="1:26" x14ac:dyDescent="0.3">
      <c r="A29" s="115" t="s">
        <v>256</v>
      </c>
      <c r="B29" s="91">
        <v>7</v>
      </c>
      <c r="C29" s="116" t="s">
        <v>33</v>
      </c>
      <c r="D29" s="108">
        <v>11479</v>
      </c>
      <c r="E29" s="116" t="s">
        <v>235</v>
      </c>
      <c r="F29" s="91" t="s">
        <v>209</v>
      </c>
      <c r="G29" s="91" t="s">
        <v>201</v>
      </c>
      <c r="H29" s="91" t="s">
        <v>201</v>
      </c>
      <c r="I29" s="91" t="s">
        <v>201</v>
      </c>
      <c r="J29" s="91" t="s">
        <v>78</v>
      </c>
      <c r="K29" s="91" t="s">
        <v>209</v>
      </c>
      <c r="L29" s="91" t="s">
        <v>209</v>
      </c>
      <c r="M29" s="91" t="s">
        <v>209</v>
      </c>
      <c r="N29" s="91">
        <v>0</v>
      </c>
      <c r="O29" s="91">
        <v>24</v>
      </c>
      <c r="P29" s="91">
        <v>25</v>
      </c>
      <c r="Q29" s="91">
        <v>70</v>
      </c>
      <c r="R29" s="91" t="s">
        <v>209</v>
      </c>
      <c r="S29" s="91" t="s">
        <v>78</v>
      </c>
      <c r="T29" s="91" t="s">
        <v>209</v>
      </c>
      <c r="U29" s="91" t="s">
        <v>209</v>
      </c>
      <c r="V29" s="91" t="s">
        <v>393</v>
      </c>
      <c r="W29" s="91">
        <v>3</v>
      </c>
      <c r="Y29">
        <v>4731</v>
      </c>
      <c r="Z29">
        <f>COUNTIF(Tabel1[Team Number],Y29)</f>
        <v>6</v>
      </c>
    </row>
    <row r="30" spans="1:26" x14ac:dyDescent="0.3">
      <c r="A30" s="130" t="s">
        <v>256</v>
      </c>
      <c r="B30" s="92">
        <v>8</v>
      </c>
      <c r="C30" s="92" t="s">
        <v>32</v>
      </c>
      <c r="D30" s="92">
        <v>7333</v>
      </c>
      <c r="E30" s="92" t="s">
        <v>239</v>
      </c>
      <c r="F30" s="92" t="s">
        <v>209</v>
      </c>
      <c r="G30" s="92" t="s">
        <v>209</v>
      </c>
      <c r="H30" s="92" t="s">
        <v>201</v>
      </c>
      <c r="I30" s="92" t="s">
        <v>209</v>
      </c>
      <c r="J30" s="92" t="s">
        <v>78</v>
      </c>
      <c r="K30" s="92" t="s">
        <v>201</v>
      </c>
      <c r="L30" s="92" t="s">
        <v>209</v>
      </c>
      <c r="M30" s="92" t="s">
        <v>209</v>
      </c>
      <c r="N30" s="92">
        <v>0</v>
      </c>
      <c r="O30" s="92">
        <v>9</v>
      </c>
      <c r="P30" s="92">
        <v>30</v>
      </c>
      <c r="Q30" s="92">
        <v>61</v>
      </c>
      <c r="R30" s="92" t="s">
        <v>209</v>
      </c>
      <c r="S30" s="92" t="s">
        <v>78</v>
      </c>
      <c r="T30" s="92" t="s">
        <v>209</v>
      </c>
      <c r="U30" s="92" t="s">
        <v>209</v>
      </c>
      <c r="V30" s="92" t="s">
        <v>396</v>
      </c>
      <c r="W30" s="92">
        <v>5</v>
      </c>
      <c r="Y30">
        <v>5933</v>
      </c>
      <c r="Z30">
        <f>COUNTIF(Tabel1[Team Number],Y30)</f>
        <v>5</v>
      </c>
    </row>
    <row r="31" spans="1:26" ht="21" customHeight="1" x14ac:dyDescent="0.3">
      <c r="A31" s="130" t="s">
        <v>253</v>
      </c>
      <c r="B31" s="92">
        <v>9</v>
      </c>
      <c r="C31" s="92" t="s">
        <v>34</v>
      </c>
      <c r="D31" s="92">
        <v>3245</v>
      </c>
      <c r="E31" s="92" t="s">
        <v>235</v>
      </c>
      <c r="F31" s="92" t="s">
        <v>209</v>
      </c>
      <c r="G31" s="92" t="s">
        <v>209</v>
      </c>
      <c r="H31" s="92" t="s">
        <v>201</v>
      </c>
      <c r="I31" s="92" t="s">
        <v>201</v>
      </c>
      <c r="J31" s="92" t="s">
        <v>78</v>
      </c>
      <c r="K31" s="92" t="s">
        <v>201</v>
      </c>
      <c r="L31" s="92" t="s">
        <v>209</v>
      </c>
      <c r="M31" s="92" t="s">
        <v>209</v>
      </c>
      <c r="N31" s="92">
        <v>0</v>
      </c>
      <c r="O31" s="92">
        <v>0</v>
      </c>
      <c r="P31" s="92">
        <v>55</v>
      </c>
      <c r="Q31" s="92">
        <v>95</v>
      </c>
      <c r="R31" s="92" t="s">
        <v>209</v>
      </c>
      <c r="S31" s="92" t="s">
        <v>78</v>
      </c>
      <c r="T31" s="92" t="s">
        <v>209</v>
      </c>
      <c r="U31" s="92" t="s">
        <v>209</v>
      </c>
      <c r="V31" s="92"/>
      <c r="W31" s="92">
        <v>5</v>
      </c>
      <c r="Y31">
        <v>6352</v>
      </c>
      <c r="Z31">
        <f>COUNTIF(Tabel1[Team Number],Y31)</f>
        <v>5</v>
      </c>
    </row>
    <row r="32" spans="1:26" x14ac:dyDescent="0.3">
      <c r="A32" s="127" t="s">
        <v>250</v>
      </c>
      <c r="B32" s="91">
        <v>9</v>
      </c>
      <c r="C32" s="91" t="s">
        <v>33</v>
      </c>
      <c r="D32" s="108">
        <v>7755</v>
      </c>
      <c r="E32" s="91" t="s">
        <v>239</v>
      </c>
      <c r="F32" s="91" t="s">
        <v>209</v>
      </c>
      <c r="G32" s="91" t="s">
        <v>201</v>
      </c>
      <c r="H32" s="91" t="s">
        <v>209</v>
      </c>
      <c r="I32" s="91" t="s">
        <v>209</v>
      </c>
      <c r="J32" s="91" t="s">
        <v>78</v>
      </c>
      <c r="K32" s="91" t="s">
        <v>201</v>
      </c>
      <c r="L32" s="91" t="s">
        <v>209</v>
      </c>
      <c r="M32" s="91" t="s">
        <v>209</v>
      </c>
      <c r="N32" s="91">
        <v>0</v>
      </c>
      <c r="O32" s="91">
        <v>6</v>
      </c>
      <c r="P32" s="91">
        <v>5</v>
      </c>
      <c r="Q32" s="91">
        <v>94</v>
      </c>
      <c r="R32" s="91" t="s">
        <v>209</v>
      </c>
      <c r="S32" s="91" t="s">
        <v>78</v>
      </c>
      <c r="T32" s="91" t="s">
        <v>209</v>
      </c>
      <c r="U32" s="91" t="s">
        <v>209</v>
      </c>
      <c r="V32" s="91" t="s">
        <v>400</v>
      </c>
      <c r="W32" s="91">
        <v>2</v>
      </c>
      <c r="Y32">
        <v>6413</v>
      </c>
      <c r="Z32">
        <f>COUNTIF(Tabel1[Team Number],Y32)</f>
        <v>6</v>
      </c>
    </row>
    <row r="33" spans="1:26" x14ac:dyDescent="0.3">
      <c r="A33" s="127" t="s">
        <v>378</v>
      </c>
      <c r="B33" s="91">
        <v>9</v>
      </c>
      <c r="C33" s="91" t="s">
        <v>35</v>
      </c>
      <c r="D33" s="91">
        <v>1410</v>
      </c>
      <c r="E33" s="91" t="s">
        <v>239</v>
      </c>
      <c r="F33" s="91" t="s">
        <v>209</v>
      </c>
      <c r="G33" s="91" t="s">
        <v>201</v>
      </c>
      <c r="H33" s="91" t="s">
        <v>201</v>
      </c>
      <c r="I33" s="91" t="s">
        <v>201</v>
      </c>
      <c r="J33" s="91" t="s">
        <v>78</v>
      </c>
      <c r="K33" s="91" t="s">
        <v>209</v>
      </c>
      <c r="L33" s="91" t="s">
        <v>209</v>
      </c>
      <c r="M33" s="91" t="s">
        <v>209</v>
      </c>
      <c r="N33" s="91">
        <v>0</v>
      </c>
      <c r="O33" s="91">
        <v>0</v>
      </c>
      <c r="P33" s="91">
        <v>0</v>
      </c>
      <c r="Q33" s="91">
        <v>100</v>
      </c>
      <c r="R33" s="91" t="s">
        <v>201</v>
      </c>
      <c r="S33" s="91" t="s">
        <v>78</v>
      </c>
      <c r="T33" s="91" t="s">
        <v>209</v>
      </c>
      <c r="U33" s="91" t="s">
        <v>209</v>
      </c>
      <c r="V33" s="91" t="s">
        <v>399</v>
      </c>
      <c r="W33" s="91">
        <v>5</v>
      </c>
      <c r="Y33">
        <v>6479</v>
      </c>
      <c r="Z33">
        <f>COUNTIF(Tabel1[Team Number],Y33)</f>
        <v>4</v>
      </c>
    </row>
    <row r="34" spans="1:26" x14ac:dyDescent="0.3">
      <c r="A34" s="127" t="s">
        <v>253</v>
      </c>
      <c r="B34" s="91">
        <v>10</v>
      </c>
      <c r="C34" s="91" t="s">
        <v>33</v>
      </c>
      <c r="D34" s="91">
        <v>9059</v>
      </c>
      <c r="E34" s="91" t="s">
        <v>239</v>
      </c>
      <c r="F34" s="91" t="s">
        <v>209</v>
      </c>
      <c r="G34" s="91" t="s">
        <v>209</v>
      </c>
      <c r="H34" s="91" t="s">
        <v>201</v>
      </c>
      <c r="I34" s="91" t="s">
        <v>209</v>
      </c>
      <c r="J34" s="91" t="s">
        <v>78</v>
      </c>
      <c r="K34" s="91" t="s">
        <v>209</v>
      </c>
      <c r="L34" s="91" t="s">
        <v>209</v>
      </c>
      <c r="M34" s="91" t="s">
        <v>209</v>
      </c>
      <c r="N34" s="91">
        <v>18</v>
      </c>
      <c r="O34" s="91">
        <v>0</v>
      </c>
      <c r="P34" s="91">
        <v>0</v>
      </c>
      <c r="Q34" s="91">
        <v>30</v>
      </c>
      <c r="R34" s="91" t="s">
        <v>209</v>
      </c>
      <c r="S34" s="91" t="s">
        <v>78</v>
      </c>
      <c r="T34" s="91" t="s">
        <v>209</v>
      </c>
      <c r="U34" s="91" t="s">
        <v>209</v>
      </c>
      <c r="V34" s="91" t="s">
        <v>407</v>
      </c>
      <c r="W34" s="91">
        <v>3</v>
      </c>
      <c r="Y34">
        <v>6833</v>
      </c>
      <c r="Z34">
        <f>COUNTIF(Tabel1[Team Number],Y34)</f>
        <v>6</v>
      </c>
    </row>
    <row r="35" spans="1:26" x14ac:dyDescent="0.3">
      <c r="A35" s="115" t="s">
        <v>250</v>
      </c>
      <c r="B35" s="91">
        <v>10</v>
      </c>
      <c r="C35" s="116" t="s">
        <v>32</v>
      </c>
      <c r="D35" s="108">
        <v>5933</v>
      </c>
      <c r="E35" s="116" t="s">
        <v>239</v>
      </c>
      <c r="F35" s="91" t="s">
        <v>209</v>
      </c>
      <c r="G35" s="91" t="s">
        <v>201</v>
      </c>
      <c r="H35" s="91" t="s">
        <v>209</v>
      </c>
      <c r="I35" s="91" t="s">
        <v>209</v>
      </c>
      <c r="J35" s="91"/>
      <c r="K35" s="91" t="s">
        <v>201</v>
      </c>
      <c r="L35" s="91" t="s">
        <v>209</v>
      </c>
      <c r="M35" s="91" t="s">
        <v>209</v>
      </c>
      <c r="N35" s="91">
        <v>0</v>
      </c>
      <c r="O35" s="91">
        <v>0</v>
      </c>
      <c r="P35" s="91">
        <v>0</v>
      </c>
      <c r="Q35" s="91">
        <v>2</v>
      </c>
      <c r="R35" s="91" t="s">
        <v>201</v>
      </c>
      <c r="S35" s="91" t="s">
        <v>78</v>
      </c>
      <c r="T35" s="91" t="s">
        <v>209</v>
      </c>
      <c r="U35" s="91" t="s">
        <v>209</v>
      </c>
      <c r="V35" s="91"/>
      <c r="W35" s="91">
        <v>3</v>
      </c>
      <c r="Y35">
        <v>7333</v>
      </c>
      <c r="Z35">
        <f>COUNTIF(Tabel1[Team Number],Y35)</f>
        <v>9</v>
      </c>
    </row>
    <row r="36" spans="1:26" x14ac:dyDescent="0.3">
      <c r="A36" s="130" t="s">
        <v>378</v>
      </c>
      <c r="B36" s="92">
        <v>10</v>
      </c>
      <c r="C36" s="92" t="s">
        <v>35</v>
      </c>
      <c r="D36" s="92">
        <v>3424</v>
      </c>
      <c r="E36" s="92" t="s">
        <v>235</v>
      </c>
      <c r="F36" s="92" t="s">
        <v>201</v>
      </c>
      <c r="G36" s="92" t="s">
        <v>209</v>
      </c>
      <c r="H36" s="92" t="s">
        <v>209</v>
      </c>
      <c r="I36" s="92" t="s">
        <v>209</v>
      </c>
      <c r="J36" s="92" t="s">
        <v>236</v>
      </c>
      <c r="K36" s="92" t="s">
        <v>209</v>
      </c>
      <c r="L36" s="92" t="s">
        <v>209</v>
      </c>
      <c r="M36" s="92" t="s">
        <v>209</v>
      </c>
      <c r="N36" s="92">
        <v>0</v>
      </c>
      <c r="O36" s="92">
        <v>0</v>
      </c>
      <c r="P36" s="92">
        <v>0</v>
      </c>
      <c r="Q36" s="92">
        <v>100</v>
      </c>
      <c r="R36" s="92" t="s">
        <v>209</v>
      </c>
      <c r="S36" s="92" t="s">
        <v>78</v>
      </c>
      <c r="T36" s="92" t="s">
        <v>209</v>
      </c>
      <c r="U36" s="92" t="s">
        <v>209</v>
      </c>
      <c r="V36" s="92"/>
      <c r="W36" s="92">
        <v>5</v>
      </c>
      <c r="Y36">
        <v>7425</v>
      </c>
      <c r="Z36">
        <f>COUNTIF(Tabel1[Team Number],Y36)</f>
        <v>7</v>
      </c>
    </row>
    <row r="37" spans="1:26" ht="25.95" customHeight="1" x14ac:dyDescent="0.3">
      <c r="A37" s="113" t="s">
        <v>218</v>
      </c>
      <c r="B37" s="92">
        <v>10</v>
      </c>
      <c r="C37" s="114" t="s">
        <v>34</v>
      </c>
      <c r="D37" s="111">
        <v>6833</v>
      </c>
      <c r="E37" s="114" t="s">
        <v>241</v>
      </c>
      <c r="F37" s="92" t="s">
        <v>209</v>
      </c>
      <c r="G37" s="92" t="s">
        <v>209</v>
      </c>
      <c r="H37" s="92" t="s">
        <v>201</v>
      </c>
      <c r="I37" s="92" t="s">
        <v>201</v>
      </c>
      <c r="J37" s="92" t="s">
        <v>236</v>
      </c>
      <c r="K37" s="92" t="s">
        <v>201</v>
      </c>
      <c r="L37" s="92" t="s">
        <v>209</v>
      </c>
      <c r="M37" s="92" t="s">
        <v>209</v>
      </c>
      <c r="N37" s="92">
        <v>0</v>
      </c>
      <c r="O37" s="92">
        <v>3</v>
      </c>
      <c r="P37" s="92">
        <v>20</v>
      </c>
      <c r="Q37" s="92">
        <v>100</v>
      </c>
      <c r="R37" s="92" t="s">
        <v>209</v>
      </c>
      <c r="S37" s="92" t="s">
        <v>78</v>
      </c>
      <c r="T37" s="92" t="s">
        <v>209</v>
      </c>
      <c r="U37" s="92" t="s">
        <v>209</v>
      </c>
      <c r="V37" s="92"/>
      <c r="W37" s="92">
        <v>5</v>
      </c>
      <c r="Y37">
        <v>7426</v>
      </c>
      <c r="Z37">
        <f>COUNTIF(Tabel1[Team Number],Y37)</f>
        <v>5</v>
      </c>
    </row>
    <row r="38" spans="1:26" x14ac:dyDescent="0.3">
      <c r="A38" s="115" t="s">
        <v>238</v>
      </c>
      <c r="B38" s="91">
        <v>11</v>
      </c>
      <c r="C38" s="116" t="s">
        <v>34</v>
      </c>
      <c r="D38" s="108">
        <v>6413</v>
      </c>
      <c r="E38" s="116" t="s">
        <v>241</v>
      </c>
      <c r="F38" s="91" t="s">
        <v>209</v>
      </c>
      <c r="G38" s="91" t="s">
        <v>201</v>
      </c>
      <c r="H38" s="91" t="s">
        <v>209</v>
      </c>
      <c r="I38" s="91" t="s">
        <v>209</v>
      </c>
      <c r="J38" s="91" t="s">
        <v>78</v>
      </c>
      <c r="K38" s="91" t="s">
        <v>201</v>
      </c>
      <c r="L38" s="91" t="s">
        <v>209</v>
      </c>
      <c r="M38" s="91" t="s">
        <v>209</v>
      </c>
      <c r="N38" s="91">
        <v>0</v>
      </c>
      <c r="O38" s="91">
        <v>0</v>
      </c>
      <c r="P38" s="91">
        <v>0</v>
      </c>
      <c r="Q38" s="91">
        <v>1</v>
      </c>
      <c r="R38" s="91" t="s">
        <v>209</v>
      </c>
      <c r="S38" s="91" t="s">
        <v>78</v>
      </c>
      <c r="T38" s="91" t="s">
        <v>209</v>
      </c>
      <c r="U38" s="91" t="s">
        <v>209</v>
      </c>
      <c r="V38" s="91" t="s">
        <v>413</v>
      </c>
      <c r="W38" s="91">
        <v>3</v>
      </c>
      <c r="Y38">
        <v>7755</v>
      </c>
      <c r="Z38">
        <f>COUNTIF(Tabel1[Team Number],Y38)</f>
        <v>6</v>
      </c>
    </row>
    <row r="39" spans="1:26" x14ac:dyDescent="0.3">
      <c r="A39" s="115" t="s">
        <v>250</v>
      </c>
      <c r="B39" s="91">
        <v>11</v>
      </c>
      <c r="C39" s="116" t="s">
        <v>32</v>
      </c>
      <c r="D39" s="108">
        <v>9704</v>
      </c>
      <c r="E39" s="116" t="s">
        <v>235</v>
      </c>
      <c r="F39" s="91" t="s">
        <v>209</v>
      </c>
      <c r="G39" s="91" t="s">
        <v>209</v>
      </c>
      <c r="H39" s="91" t="s">
        <v>209</v>
      </c>
      <c r="I39" s="91" t="s">
        <v>209</v>
      </c>
      <c r="J39" s="91" t="s">
        <v>78</v>
      </c>
      <c r="K39" s="91" t="s">
        <v>209</v>
      </c>
      <c r="L39" s="91" t="s">
        <v>209</v>
      </c>
      <c r="M39" s="91" t="s">
        <v>209</v>
      </c>
      <c r="N39" s="91">
        <v>0</v>
      </c>
      <c r="O39" s="91">
        <v>0</v>
      </c>
      <c r="P39" s="91">
        <v>0</v>
      </c>
      <c r="Q39" s="91">
        <v>1</v>
      </c>
      <c r="R39" s="91" t="s">
        <v>201</v>
      </c>
      <c r="S39" s="91" t="s">
        <v>78</v>
      </c>
      <c r="T39" s="91" t="s">
        <v>209</v>
      </c>
      <c r="U39" s="91" t="s">
        <v>209</v>
      </c>
      <c r="V39" s="91" t="s">
        <v>412</v>
      </c>
      <c r="W39" s="91">
        <v>3</v>
      </c>
      <c r="Y39">
        <v>8012</v>
      </c>
      <c r="Z39">
        <f>COUNTIF(Tabel1[Team Number],Y39)</f>
        <v>5</v>
      </c>
    </row>
    <row r="40" spans="1:26" x14ac:dyDescent="0.3">
      <c r="A40" s="113" t="s">
        <v>378</v>
      </c>
      <c r="B40" s="92">
        <v>11</v>
      </c>
      <c r="C40" s="114" t="s">
        <v>31</v>
      </c>
      <c r="D40" s="111">
        <v>996</v>
      </c>
      <c r="E40" s="114" t="s">
        <v>241</v>
      </c>
      <c r="F40" s="92" t="s">
        <v>201</v>
      </c>
      <c r="G40" s="92" t="s">
        <v>209</v>
      </c>
      <c r="H40" s="92" t="s">
        <v>209</v>
      </c>
      <c r="I40" s="92" t="s">
        <v>209</v>
      </c>
      <c r="J40" s="92" t="s">
        <v>236</v>
      </c>
      <c r="K40" s="92" t="s">
        <v>209</v>
      </c>
      <c r="L40" s="92" t="s">
        <v>209</v>
      </c>
      <c r="M40" s="92" t="s">
        <v>209</v>
      </c>
      <c r="N40" s="92">
        <v>0</v>
      </c>
      <c r="O40" s="92">
        <v>0</v>
      </c>
      <c r="P40" s="92">
        <v>0</v>
      </c>
      <c r="Q40" s="92">
        <v>100</v>
      </c>
      <c r="R40" s="92" t="s">
        <v>209</v>
      </c>
      <c r="S40" s="92" t="s">
        <v>78</v>
      </c>
      <c r="T40" s="92" t="s">
        <v>209</v>
      </c>
      <c r="U40" s="92" t="s">
        <v>209</v>
      </c>
      <c r="V40" s="92"/>
      <c r="W40" s="92">
        <v>5</v>
      </c>
      <c r="Y40">
        <v>8717</v>
      </c>
      <c r="Z40">
        <f>COUNTIF(Tabel1[Team Number],Y40)</f>
        <v>5</v>
      </c>
    </row>
    <row r="41" spans="1:26" x14ac:dyDescent="0.3">
      <c r="A41" s="115" t="s">
        <v>283</v>
      </c>
      <c r="B41" s="91">
        <v>11</v>
      </c>
      <c r="C41" s="116" t="s">
        <v>33</v>
      </c>
      <c r="D41" s="108">
        <v>9091</v>
      </c>
      <c r="E41" s="116" t="s">
        <v>239</v>
      </c>
      <c r="F41" s="91" t="s">
        <v>201</v>
      </c>
      <c r="G41" s="91" t="s">
        <v>209</v>
      </c>
      <c r="H41" s="91" t="s">
        <v>209</v>
      </c>
      <c r="I41" s="91" t="s">
        <v>209</v>
      </c>
      <c r="J41" s="91"/>
      <c r="K41" s="91" t="s">
        <v>209</v>
      </c>
      <c r="L41" s="91" t="s">
        <v>209</v>
      </c>
      <c r="M41" s="91" t="s">
        <v>209</v>
      </c>
      <c r="N41" s="91">
        <v>0</v>
      </c>
      <c r="O41" s="91">
        <v>0</v>
      </c>
      <c r="P41" s="91">
        <v>0</v>
      </c>
      <c r="Q41" s="91">
        <v>100</v>
      </c>
      <c r="R41" s="91" t="s">
        <v>209</v>
      </c>
      <c r="S41" s="91" t="s">
        <v>78</v>
      </c>
      <c r="T41" s="91" t="s">
        <v>209</v>
      </c>
      <c r="U41" s="91" t="s">
        <v>209</v>
      </c>
      <c r="V41" s="91"/>
      <c r="W41" s="91">
        <v>5</v>
      </c>
      <c r="Y41">
        <v>9059</v>
      </c>
      <c r="Z41">
        <f>COUNTIF(Tabel1[Team Number],Y41)</f>
        <v>5</v>
      </c>
    </row>
    <row r="42" spans="1:26" x14ac:dyDescent="0.3">
      <c r="A42" s="113" t="s">
        <v>283</v>
      </c>
      <c r="B42" s="92">
        <v>11</v>
      </c>
      <c r="C42" s="114" t="s">
        <v>35</v>
      </c>
      <c r="D42" s="111">
        <v>10905</v>
      </c>
      <c r="E42" s="114" t="s">
        <v>235</v>
      </c>
      <c r="F42" s="92" t="s">
        <v>209</v>
      </c>
      <c r="G42" s="92" t="s">
        <v>201</v>
      </c>
      <c r="H42" s="92" t="s">
        <v>209</v>
      </c>
      <c r="I42" s="92" t="s">
        <v>209</v>
      </c>
      <c r="J42" s="92" t="s">
        <v>78</v>
      </c>
      <c r="K42" s="92" t="s">
        <v>201</v>
      </c>
      <c r="L42" s="92" t="s">
        <v>209</v>
      </c>
      <c r="M42" s="92" t="s">
        <v>209</v>
      </c>
      <c r="N42" s="92">
        <v>1</v>
      </c>
      <c r="O42" s="92">
        <v>0</v>
      </c>
      <c r="P42" s="92">
        <v>0</v>
      </c>
      <c r="Q42" s="92">
        <v>1</v>
      </c>
      <c r="R42" s="92" t="s">
        <v>209</v>
      </c>
      <c r="S42" s="92" t="s">
        <v>78</v>
      </c>
      <c r="T42" s="92" t="s">
        <v>201</v>
      </c>
      <c r="U42" s="92" t="s">
        <v>209</v>
      </c>
      <c r="V42" s="92" t="s">
        <v>414</v>
      </c>
      <c r="W42" s="92">
        <v>1</v>
      </c>
      <c r="Y42">
        <v>9091</v>
      </c>
      <c r="Z42">
        <f>COUNTIF(Tabel1[Team Number],Y42)</f>
        <v>7</v>
      </c>
    </row>
    <row r="43" spans="1:26" ht="26.4" customHeight="1" x14ac:dyDescent="0.3">
      <c r="A43" s="113" t="s">
        <v>347</v>
      </c>
      <c r="B43" s="92">
        <v>12</v>
      </c>
      <c r="C43" s="114" t="s">
        <v>35</v>
      </c>
      <c r="D43" s="111">
        <v>11176</v>
      </c>
      <c r="E43" s="114" t="s">
        <v>239</v>
      </c>
      <c r="F43" s="92" t="s">
        <v>209</v>
      </c>
      <c r="G43" s="92" t="s">
        <v>201</v>
      </c>
      <c r="H43" s="92" t="s">
        <v>201</v>
      </c>
      <c r="I43" s="92" t="s">
        <v>201</v>
      </c>
      <c r="J43" s="92" t="s">
        <v>78</v>
      </c>
      <c r="K43" s="92" t="s">
        <v>201</v>
      </c>
      <c r="L43" s="92" t="s">
        <v>209</v>
      </c>
      <c r="M43" s="92" t="s">
        <v>209</v>
      </c>
      <c r="N43" s="92">
        <v>1</v>
      </c>
      <c r="O43" s="92">
        <v>3</v>
      </c>
      <c r="P43" s="92">
        <v>0</v>
      </c>
      <c r="Q43" s="92">
        <v>1</v>
      </c>
      <c r="R43" s="92" t="s">
        <v>209</v>
      </c>
      <c r="S43" s="92" t="s">
        <v>80</v>
      </c>
      <c r="T43" s="92" t="s">
        <v>209</v>
      </c>
      <c r="U43" s="92" t="s">
        <v>209</v>
      </c>
      <c r="V43" s="92" t="s">
        <v>422</v>
      </c>
      <c r="W43" s="92">
        <v>2</v>
      </c>
      <c r="Y43">
        <v>9501</v>
      </c>
      <c r="Z43">
        <f>COUNTIF(Tabel1[Team Number],Y43)</f>
        <v>7</v>
      </c>
    </row>
    <row r="44" spans="1:26" x14ac:dyDescent="0.3">
      <c r="A44" s="113" t="s">
        <v>234</v>
      </c>
      <c r="B44" s="92">
        <v>12</v>
      </c>
      <c r="C44" s="114" t="s">
        <v>34</v>
      </c>
      <c r="D44" s="111">
        <v>991</v>
      </c>
      <c r="E44" s="114" t="s">
        <v>235</v>
      </c>
      <c r="F44" s="92" t="s">
        <v>209</v>
      </c>
      <c r="G44" s="92" t="s">
        <v>201</v>
      </c>
      <c r="H44" s="92" t="s">
        <v>201</v>
      </c>
      <c r="I44" s="92" t="s">
        <v>201</v>
      </c>
      <c r="J44" s="92" t="s">
        <v>236</v>
      </c>
      <c r="K44" s="92" t="s">
        <v>201</v>
      </c>
      <c r="L44" s="92" t="s">
        <v>209</v>
      </c>
      <c r="M44" s="92" t="s">
        <v>209</v>
      </c>
      <c r="N44" s="92">
        <v>0</v>
      </c>
      <c r="O44" s="92">
        <v>0</v>
      </c>
      <c r="P44" s="92">
        <v>70</v>
      </c>
      <c r="Q44" s="92">
        <v>62</v>
      </c>
      <c r="R44" s="92" t="s">
        <v>209</v>
      </c>
      <c r="S44" s="92" t="s">
        <v>78</v>
      </c>
      <c r="T44" s="92" t="s">
        <v>209</v>
      </c>
      <c r="U44" s="92" t="s">
        <v>209</v>
      </c>
      <c r="V44" s="92"/>
      <c r="W44" s="92">
        <v>4</v>
      </c>
      <c r="Y44">
        <v>9534</v>
      </c>
      <c r="Z44">
        <f>COUNTIF(Tabel1[Team Number],Y44)</f>
        <v>6</v>
      </c>
    </row>
    <row r="45" spans="1:26" x14ac:dyDescent="0.3">
      <c r="A45" s="113" t="s">
        <v>250</v>
      </c>
      <c r="B45" s="92">
        <v>12</v>
      </c>
      <c r="C45" s="114" t="s">
        <v>32</v>
      </c>
      <c r="D45" s="111">
        <v>6479</v>
      </c>
      <c r="E45" s="114" t="s">
        <v>241</v>
      </c>
      <c r="F45" s="92" t="s">
        <v>209</v>
      </c>
      <c r="G45" s="92" t="s">
        <v>201</v>
      </c>
      <c r="H45" s="92" t="s">
        <v>201</v>
      </c>
      <c r="I45" s="92" t="s">
        <v>209</v>
      </c>
      <c r="J45" s="92" t="s">
        <v>78</v>
      </c>
      <c r="K45" s="92" t="s">
        <v>201</v>
      </c>
      <c r="L45" s="92" t="s">
        <v>209</v>
      </c>
      <c r="M45" s="92" t="s">
        <v>209</v>
      </c>
      <c r="N45" s="92">
        <v>0</v>
      </c>
      <c r="O45" s="92">
        <v>12</v>
      </c>
      <c r="P45" s="92">
        <v>25</v>
      </c>
      <c r="Q45" s="92">
        <v>55</v>
      </c>
      <c r="R45" s="92" t="s">
        <v>201</v>
      </c>
      <c r="S45" s="92" t="s">
        <v>78</v>
      </c>
      <c r="T45" s="92" t="s">
        <v>209</v>
      </c>
      <c r="U45" s="92" t="s">
        <v>201</v>
      </c>
      <c r="V45" s="92"/>
      <c r="W45" s="92">
        <v>3</v>
      </c>
      <c r="Y45">
        <v>9704</v>
      </c>
      <c r="Z45">
        <f>COUNTIF(Tabel1[Team Number],Y45)</f>
        <v>5</v>
      </c>
    </row>
    <row r="46" spans="1:26" x14ac:dyDescent="0.3">
      <c r="A46" s="115" t="s">
        <v>378</v>
      </c>
      <c r="B46" s="91">
        <v>12</v>
      </c>
      <c r="C46" s="116" t="s">
        <v>31</v>
      </c>
      <c r="D46" s="108">
        <v>288</v>
      </c>
      <c r="E46" s="116" t="s">
        <v>239</v>
      </c>
      <c r="F46" s="91" t="s">
        <v>209</v>
      </c>
      <c r="G46" s="91" t="s">
        <v>201</v>
      </c>
      <c r="H46" s="91" t="s">
        <v>209</v>
      </c>
      <c r="I46" s="91" t="s">
        <v>201</v>
      </c>
      <c r="J46" s="91" t="s">
        <v>78</v>
      </c>
      <c r="K46" s="91" t="s">
        <v>201</v>
      </c>
      <c r="L46" s="91" t="s">
        <v>209</v>
      </c>
      <c r="M46" s="91" t="s">
        <v>201</v>
      </c>
      <c r="N46" s="91">
        <v>2</v>
      </c>
      <c r="O46" s="91">
        <v>30</v>
      </c>
      <c r="P46" s="91">
        <v>55</v>
      </c>
      <c r="Q46" s="91">
        <v>71</v>
      </c>
      <c r="R46" s="91" t="s">
        <v>209</v>
      </c>
      <c r="S46" s="91" t="s">
        <v>78</v>
      </c>
      <c r="T46" s="91" t="s">
        <v>209</v>
      </c>
      <c r="U46" s="91" t="s">
        <v>209</v>
      </c>
      <c r="V46" s="91" t="s">
        <v>420</v>
      </c>
      <c r="W46" s="91">
        <v>4</v>
      </c>
      <c r="Y46">
        <v>9777</v>
      </c>
      <c r="Z46">
        <f>COUNTIF(Tabel1[Team Number],Y46)</f>
        <v>6</v>
      </c>
    </row>
    <row r="47" spans="1:26" x14ac:dyDescent="0.3">
      <c r="A47" s="115" t="s">
        <v>283</v>
      </c>
      <c r="B47" s="91">
        <v>12</v>
      </c>
      <c r="C47" s="116" t="s">
        <v>33</v>
      </c>
      <c r="D47" s="108">
        <v>244</v>
      </c>
      <c r="E47" s="116" t="s">
        <v>241</v>
      </c>
      <c r="F47" s="91" t="s">
        <v>209</v>
      </c>
      <c r="G47" s="91" t="s">
        <v>201</v>
      </c>
      <c r="H47" s="91" t="s">
        <v>209</v>
      </c>
      <c r="I47" s="91" t="s">
        <v>201</v>
      </c>
      <c r="J47" s="91"/>
      <c r="K47" s="91" t="s">
        <v>201</v>
      </c>
      <c r="L47" s="91" t="s">
        <v>209</v>
      </c>
      <c r="M47" s="91" t="s">
        <v>209</v>
      </c>
      <c r="N47" s="91">
        <v>1</v>
      </c>
      <c r="O47" s="91">
        <v>3</v>
      </c>
      <c r="P47" s="91">
        <v>30</v>
      </c>
      <c r="Q47" s="91">
        <v>21</v>
      </c>
      <c r="R47" s="91" t="s">
        <v>209</v>
      </c>
      <c r="S47" s="91" t="s">
        <v>78</v>
      </c>
      <c r="T47" s="91" t="s">
        <v>209</v>
      </c>
      <c r="U47" s="91" t="s">
        <v>209</v>
      </c>
      <c r="V47" s="91" t="s">
        <v>421</v>
      </c>
      <c r="W47" s="91">
        <v>2</v>
      </c>
      <c r="Y47">
        <v>10114</v>
      </c>
      <c r="Z47">
        <f>COUNTIF(Tabel1[Team Number],Y47)</f>
        <v>6</v>
      </c>
    </row>
    <row r="48" spans="1:26" x14ac:dyDescent="0.3">
      <c r="A48" s="115" t="s">
        <v>238</v>
      </c>
      <c r="B48" s="91">
        <v>13</v>
      </c>
      <c r="C48" s="116" t="s">
        <v>33</v>
      </c>
      <c r="D48" s="108">
        <v>1165</v>
      </c>
      <c r="E48" s="116" t="s">
        <v>239</v>
      </c>
      <c r="F48" s="91" t="s">
        <v>209</v>
      </c>
      <c r="G48" s="91" t="s">
        <v>209</v>
      </c>
      <c r="H48" s="91" t="s">
        <v>209</v>
      </c>
      <c r="I48" s="91" t="s">
        <v>209</v>
      </c>
      <c r="J48" s="91" t="s">
        <v>78</v>
      </c>
      <c r="K48" s="91" t="s">
        <v>209</v>
      </c>
      <c r="L48" s="91" t="s">
        <v>209</v>
      </c>
      <c r="M48" s="91" t="s">
        <v>209</v>
      </c>
      <c r="N48" s="91">
        <v>0</v>
      </c>
      <c r="O48" s="91">
        <v>0</v>
      </c>
      <c r="P48" s="91">
        <v>0</v>
      </c>
      <c r="Q48" s="91">
        <v>1</v>
      </c>
      <c r="R48" s="91" t="s">
        <v>209</v>
      </c>
      <c r="S48" s="91" t="s">
        <v>78</v>
      </c>
      <c r="T48" s="91" t="s">
        <v>209</v>
      </c>
      <c r="U48" s="91" t="s">
        <v>209</v>
      </c>
      <c r="V48" s="91" t="s">
        <v>428</v>
      </c>
      <c r="W48" s="91">
        <v>2</v>
      </c>
      <c r="Y48">
        <v>10183</v>
      </c>
      <c r="Z48">
        <f>COUNTIF(Tabel1[Team Number],Y48)</f>
        <v>5</v>
      </c>
    </row>
    <row r="49" spans="1:26" x14ac:dyDescent="0.3">
      <c r="A49" s="115" t="s">
        <v>234</v>
      </c>
      <c r="B49" s="91">
        <v>13</v>
      </c>
      <c r="C49" s="116" t="s">
        <v>35</v>
      </c>
      <c r="D49" s="108">
        <v>0</v>
      </c>
      <c r="E49" s="116" t="s">
        <v>235</v>
      </c>
      <c r="F49" s="91" t="s">
        <v>209</v>
      </c>
      <c r="G49" s="91" t="s">
        <v>201</v>
      </c>
      <c r="H49" s="91" t="s">
        <v>201</v>
      </c>
      <c r="I49" s="91" t="s">
        <v>201</v>
      </c>
      <c r="J49" s="91" t="s">
        <v>236</v>
      </c>
      <c r="K49" s="91" t="s">
        <v>201</v>
      </c>
      <c r="L49" s="91" t="s">
        <v>209</v>
      </c>
      <c r="M49" s="91" t="s">
        <v>209</v>
      </c>
      <c r="N49" s="91">
        <v>0</v>
      </c>
      <c r="O49" s="91">
        <v>0</v>
      </c>
      <c r="P49" s="91">
        <v>170</v>
      </c>
      <c r="Q49" s="91">
        <v>71</v>
      </c>
      <c r="R49" s="91" t="s">
        <v>209</v>
      </c>
      <c r="S49" s="91" t="s">
        <v>78</v>
      </c>
      <c r="T49" s="91" t="s">
        <v>209</v>
      </c>
      <c r="U49" s="91" t="s">
        <v>209</v>
      </c>
      <c r="V49" s="91"/>
      <c r="W49" s="91">
        <v>5</v>
      </c>
      <c r="Y49">
        <v>10380</v>
      </c>
      <c r="Z49">
        <f>COUNTIF(Tabel1[Team Number],Y49)</f>
        <v>5</v>
      </c>
    </row>
    <row r="50" spans="1:26" x14ac:dyDescent="0.3">
      <c r="A50" s="113" t="s">
        <v>250</v>
      </c>
      <c r="B50" s="92">
        <v>13</v>
      </c>
      <c r="C50" s="114" t="s">
        <v>34</v>
      </c>
      <c r="D50" s="111">
        <v>8717</v>
      </c>
      <c r="E50" s="114" t="s">
        <v>241</v>
      </c>
      <c r="F50" s="92" t="s">
        <v>209</v>
      </c>
      <c r="G50" s="92" t="s">
        <v>201</v>
      </c>
      <c r="H50" s="92" t="s">
        <v>201</v>
      </c>
      <c r="I50" s="92" t="s">
        <v>201</v>
      </c>
      <c r="J50" s="92"/>
      <c r="K50" s="92" t="s">
        <v>201</v>
      </c>
      <c r="L50" s="92" t="s">
        <v>209</v>
      </c>
      <c r="M50" s="92" t="s">
        <v>209</v>
      </c>
      <c r="N50" s="92">
        <v>0</v>
      </c>
      <c r="O50" s="92">
        <v>0</v>
      </c>
      <c r="P50" s="92">
        <v>20</v>
      </c>
      <c r="Q50" s="92">
        <v>24</v>
      </c>
      <c r="R50" s="92" t="s">
        <v>209</v>
      </c>
      <c r="S50" s="92" t="s">
        <v>78</v>
      </c>
      <c r="T50" s="92" t="s">
        <v>209</v>
      </c>
      <c r="U50" s="92" t="s">
        <v>209</v>
      </c>
      <c r="V50" s="92"/>
      <c r="W50" s="92">
        <v>3</v>
      </c>
      <c r="Y50">
        <v>10506</v>
      </c>
      <c r="Z50">
        <f>COUNTIF(Tabel1[Team Number],Y50)</f>
        <v>5</v>
      </c>
    </row>
    <row r="51" spans="1:26" x14ac:dyDescent="0.3">
      <c r="A51" s="115" t="s">
        <v>238</v>
      </c>
      <c r="B51" s="91">
        <v>14</v>
      </c>
      <c r="C51" s="116" t="s">
        <v>32</v>
      </c>
      <c r="D51" s="108">
        <v>8012</v>
      </c>
      <c r="E51" s="116" t="s">
        <v>241</v>
      </c>
      <c r="F51" s="91" t="s">
        <v>209</v>
      </c>
      <c r="G51" s="91" t="s">
        <v>209</v>
      </c>
      <c r="H51" s="91" t="s">
        <v>209</v>
      </c>
      <c r="I51" s="91" t="s">
        <v>209</v>
      </c>
      <c r="J51" s="91" t="s">
        <v>78</v>
      </c>
      <c r="K51" s="91" t="s">
        <v>201</v>
      </c>
      <c r="L51" s="91" t="s">
        <v>209</v>
      </c>
      <c r="M51" s="91" t="s">
        <v>209</v>
      </c>
      <c r="N51" s="91">
        <v>0</v>
      </c>
      <c r="O51" s="91">
        <v>0</v>
      </c>
      <c r="P51" s="91">
        <v>0</v>
      </c>
      <c r="Q51" s="91">
        <v>1</v>
      </c>
      <c r="R51" s="91" t="s">
        <v>209</v>
      </c>
      <c r="S51" s="91" t="s">
        <v>78</v>
      </c>
      <c r="T51" s="91" t="s">
        <v>209</v>
      </c>
      <c r="U51" s="91" t="s">
        <v>209</v>
      </c>
      <c r="V51" s="91" t="s">
        <v>434</v>
      </c>
      <c r="W51" s="91">
        <v>1</v>
      </c>
      <c r="Y51">
        <v>10905</v>
      </c>
      <c r="Z51">
        <f>COUNTIF(Tabel1[Team Number],Y51)</f>
        <v>6</v>
      </c>
    </row>
    <row r="52" spans="1:26" x14ac:dyDescent="0.3">
      <c r="A52" s="115" t="s">
        <v>234</v>
      </c>
      <c r="B52" s="91">
        <v>14</v>
      </c>
      <c r="C52" s="116" t="s">
        <v>34</v>
      </c>
      <c r="D52" s="108">
        <v>2080</v>
      </c>
      <c r="E52" s="116" t="s">
        <v>235</v>
      </c>
      <c r="F52" s="91" t="s">
        <v>209</v>
      </c>
      <c r="G52" s="91" t="s">
        <v>201</v>
      </c>
      <c r="H52" s="91" t="s">
        <v>209</v>
      </c>
      <c r="I52" s="91" t="s">
        <v>209</v>
      </c>
      <c r="J52" s="91" t="s">
        <v>236</v>
      </c>
      <c r="K52" s="91" t="s">
        <v>201</v>
      </c>
      <c r="L52" s="91" t="s">
        <v>209</v>
      </c>
      <c r="M52" s="91" t="s">
        <v>209</v>
      </c>
      <c r="N52" s="91">
        <v>0</v>
      </c>
      <c r="O52" s="91">
        <v>0</v>
      </c>
      <c r="P52" s="91">
        <v>0</v>
      </c>
      <c r="Q52" s="91">
        <v>100</v>
      </c>
      <c r="R52" s="91" t="s">
        <v>209</v>
      </c>
      <c r="S52" s="91" t="s">
        <v>78</v>
      </c>
      <c r="T52" s="91" t="s">
        <v>201</v>
      </c>
      <c r="U52" s="91" t="s">
        <v>209</v>
      </c>
      <c r="V52" s="91"/>
      <c r="W52" s="91">
        <v>5</v>
      </c>
      <c r="Y52">
        <v>10933</v>
      </c>
      <c r="Z52">
        <f>COUNTIF(Tabel1[Team Number],Y52)</f>
        <v>6</v>
      </c>
    </row>
    <row r="53" spans="1:26" x14ac:dyDescent="0.3">
      <c r="A53" s="113" t="s">
        <v>250</v>
      </c>
      <c r="B53" s="92">
        <v>14</v>
      </c>
      <c r="C53" s="114" t="s">
        <v>33</v>
      </c>
      <c r="D53" s="111">
        <v>7426</v>
      </c>
      <c r="E53" s="114" t="s">
        <v>239</v>
      </c>
      <c r="F53" s="92" t="s">
        <v>209</v>
      </c>
      <c r="G53" s="92" t="s">
        <v>201</v>
      </c>
      <c r="H53" s="92" t="s">
        <v>201</v>
      </c>
      <c r="I53" s="92" t="s">
        <v>201</v>
      </c>
      <c r="J53" s="92"/>
      <c r="K53" s="92" t="s">
        <v>201</v>
      </c>
      <c r="L53" s="92" t="s">
        <v>201</v>
      </c>
      <c r="M53" s="92" t="s">
        <v>209</v>
      </c>
      <c r="N53" s="92">
        <v>0</v>
      </c>
      <c r="O53" s="92">
        <v>0</v>
      </c>
      <c r="P53" s="92">
        <v>35</v>
      </c>
      <c r="Q53" s="92">
        <v>87</v>
      </c>
      <c r="R53" s="92" t="s">
        <v>209</v>
      </c>
      <c r="S53" s="92" t="s">
        <v>78</v>
      </c>
      <c r="T53" s="92" t="s">
        <v>209</v>
      </c>
      <c r="U53" s="92" t="s">
        <v>209</v>
      </c>
      <c r="V53" s="92" t="s">
        <v>433</v>
      </c>
      <c r="W53" s="92">
        <v>5</v>
      </c>
      <c r="Y53">
        <v>10980</v>
      </c>
      <c r="Z53">
        <f>COUNTIF(Tabel1[Team Number],Y53)</f>
        <v>6</v>
      </c>
    </row>
    <row r="54" spans="1:26" x14ac:dyDescent="0.3">
      <c r="A54" s="130" t="s">
        <v>234</v>
      </c>
      <c r="B54" s="92">
        <v>15</v>
      </c>
      <c r="C54" s="92" t="s">
        <v>34</v>
      </c>
      <c r="D54" s="92">
        <v>7333</v>
      </c>
      <c r="E54" s="92" t="s">
        <v>239</v>
      </c>
      <c r="F54" s="92" t="s">
        <v>209</v>
      </c>
      <c r="G54" s="92" t="s">
        <v>201</v>
      </c>
      <c r="H54" s="92" t="s">
        <v>201</v>
      </c>
      <c r="I54" s="92" t="s">
        <v>201</v>
      </c>
      <c r="J54" s="92" t="s">
        <v>236</v>
      </c>
      <c r="K54" s="92" t="s">
        <v>201</v>
      </c>
      <c r="L54" s="92" t="s">
        <v>209</v>
      </c>
      <c r="M54" s="92" t="s">
        <v>209</v>
      </c>
      <c r="N54" s="92">
        <v>6</v>
      </c>
      <c r="O54" s="92">
        <v>12</v>
      </c>
      <c r="P54" s="92">
        <v>45</v>
      </c>
      <c r="Q54" s="92">
        <v>67</v>
      </c>
      <c r="R54" s="92" t="s">
        <v>209</v>
      </c>
      <c r="S54" s="92" t="s">
        <v>78</v>
      </c>
      <c r="T54" s="92" t="s">
        <v>209</v>
      </c>
      <c r="U54" s="92" t="s">
        <v>209</v>
      </c>
      <c r="V54" s="92"/>
      <c r="W54" s="92">
        <v>5</v>
      </c>
      <c r="Y54">
        <v>10988</v>
      </c>
      <c r="Z54">
        <f>COUNTIF(Tabel1[Team Number],Y54)</f>
        <v>4</v>
      </c>
    </row>
    <row r="55" spans="1:26" x14ac:dyDescent="0.3">
      <c r="A55" s="115" t="s">
        <v>253</v>
      </c>
      <c r="B55" s="91">
        <v>16</v>
      </c>
      <c r="C55" s="116" t="s">
        <v>34</v>
      </c>
      <c r="D55" s="108">
        <v>60</v>
      </c>
      <c r="E55" s="116" t="s">
        <v>241</v>
      </c>
      <c r="F55" s="91" t="s">
        <v>209</v>
      </c>
      <c r="G55" s="91" t="s">
        <v>201</v>
      </c>
      <c r="H55" s="91" t="s">
        <v>209</v>
      </c>
      <c r="I55" s="91" t="s">
        <v>201</v>
      </c>
      <c r="J55" s="91" t="s">
        <v>78</v>
      </c>
      <c r="K55" s="91" t="s">
        <v>201</v>
      </c>
      <c r="L55" s="91" t="s">
        <v>209</v>
      </c>
      <c r="M55" s="91" t="s">
        <v>209</v>
      </c>
      <c r="N55" s="91">
        <v>20</v>
      </c>
      <c r="O55" s="91">
        <v>3</v>
      </c>
      <c r="P55" s="91">
        <v>5</v>
      </c>
      <c r="Q55" s="91">
        <v>70</v>
      </c>
      <c r="R55" s="91" t="s">
        <v>209</v>
      </c>
      <c r="S55" s="91" t="s">
        <v>78</v>
      </c>
      <c r="T55" s="91" t="s">
        <v>209</v>
      </c>
      <c r="U55" s="91" t="s">
        <v>209</v>
      </c>
      <c r="V55" s="91"/>
      <c r="W55" s="91">
        <v>3</v>
      </c>
      <c r="Y55">
        <v>11100</v>
      </c>
      <c r="Z55">
        <f>COUNTIF(Tabel1[Team Number],Y55)</f>
        <v>4</v>
      </c>
    </row>
    <row r="56" spans="1:26" x14ac:dyDescent="0.3">
      <c r="A56" s="130" t="s">
        <v>250</v>
      </c>
      <c r="B56" s="92">
        <v>16</v>
      </c>
      <c r="C56" s="92" t="s">
        <v>33</v>
      </c>
      <c r="D56" s="92">
        <v>10993</v>
      </c>
      <c r="E56" s="92" t="s">
        <v>235</v>
      </c>
      <c r="F56" s="92" t="s">
        <v>209</v>
      </c>
      <c r="G56" s="92" t="s">
        <v>201</v>
      </c>
      <c r="H56" s="92" t="s">
        <v>209</v>
      </c>
      <c r="I56" s="92" t="s">
        <v>209</v>
      </c>
      <c r="J56" s="92" t="s">
        <v>78</v>
      </c>
      <c r="K56" s="92" t="s">
        <v>201</v>
      </c>
      <c r="L56" s="92" t="s">
        <v>209</v>
      </c>
      <c r="M56" s="92" t="s">
        <v>209</v>
      </c>
      <c r="N56" s="92">
        <v>0</v>
      </c>
      <c r="O56" s="92">
        <v>0</v>
      </c>
      <c r="P56" s="92">
        <v>0</v>
      </c>
      <c r="Q56" s="92">
        <v>3</v>
      </c>
      <c r="R56" s="92" t="s">
        <v>201</v>
      </c>
      <c r="S56" s="92" t="s">
        <v>78</v>
      </c>
      <c r="T56" s="92" t="s">
        <v>201</v>
      </c>
      <c r="U56" s="92" t="s">
        <v>209</v>
      </c>
      <c r="V56" s="92" t="s">
        <v>441</v>
      </c>
      <c r="W56" s="92">
        <v>3</v>
      </c>
      <c r="Y56">
        <v>11176</v>
      </c>
      <c r="Z56">
        <f>COUNTIF(Tabel1[Team Number],Y56)</f>
        <v>6</v>
      </c>
    </row>
    <row r="57" spans="1:26" x14ac:dyDescent="0.3">
      <c r="A57" s="115" t="s">
        <v>442</v>
      </c>
      <c r="B57" s="91">
        <v>16</v>
      </c>
      <c r="C57" s="116" t="s">
        <v>30</v>
      </c>
      <c r="D57" s="108">
        <v>6352</v>
      </c>
      <c r="E57" s="116" t="s">
        <v>235</v>
      </c>
      <c r="F57" s="91" t="s">
        <v>209</v>
      </c>
      <c r="G57" s="91" t="s">
        <v>201</v>
      </c>
      <c r="H57" s="91" t="s">
        <v>209</v>
      </c>
      <c r="I57" s="91" t="s">
        <v>209</v>
      </c>
      <c r="J57" s="91" t="s">
        <v>78</v>
      </c>
      <c r="K57" s="91" t="s">
        <v>201</v>
      </c>
      <c r="L57" s="91" t="s">
        <v>209</v>
      </c>
      <c r="M57" s="91" t="s">
        <v>209</v>
      </c>
      <c r="N57" s="91">
        <v>0</v>
      </c>
      <c r="O57" s="91">
        <v>0</v>
      </c>
      <c r="P57" s="91">
        <v>20</v>
      </c>
      <c r="Q57" s="91">
        <v>64</v>
      </c>
      <c r="R57" s="91" t="s">
        <v>209</v>
      </c>
      <c r="S57" s="91" t="s">
        <v>78</v>
      </c>
      <c r="T57" s="91" t="s">
        <v>209</v>
      </c>
      <c r="U57" s="91" t="s">
        <v>209</v>
      </c>
      <c r="V57" s="91"/>
      <c r="W57" s="91">
        <v>4</v>
      </c>
      <c r="Y57">
        <v>11479</v>
      </c>
      <c r="Z57">
        <f>COUNTIF(Tabel1[Team Number],Y57)</f>
        <v>6</v>
      </c>
    </row>
    <row r="58" spans="1:26" x14ac:dyDescent="0.3">
      <c r="A58" s="113" t="s">
        <v>256</v>
      </c>
      <c r="B58" s="92">
        <v>16</v>
      </c>
      <c r="C58" s="114" t="s">
        <v>35</v>
      </c>
      <c r="D58" s="111">
        <v>3216</v>
      </c>
      <c r="E58" s="114" t="s">
        <v>239</v>
      </c>
      <c r="F58" s="92" t="s">
        <v>209</v>
      </c>
      <c r="G58" s="92" t="s">
        <v>201</v>
      </c>
      <c r="H58" s="92" t="s">
        <v>201</v>
      </c>
      <c r="I58" s="92" t="s">
        <v>201</v>
      </c>
      <c r="J58" s="92" t="s">
        <v>236</v>
      </c>
      <c r="K58" s="92" t="s">
        <v>201</v>
      </c>
      <c r="L58" s="92" t="s">
        <v>209</v>
      </c>
      <c r="M58" s="92" t="s">
        <v>209</v>
      </c>
      <c r="N58" s="92">
        <v>3</v>
      </c>
      <c r="O58" s="92">
        <v>0</v>
      </c>
      <c r="P58" s="92">
        <v>110</v>
      </c>
      <c r="Q58" s="92">
        <v>55</v>
      </c>
      <c r="R58" s="92" t="s">
        <v>209</v>
      </c>
      <c r="S58" s="92" t="s">
        <v>78</v>
      </c>
      <c r="T58" s="92" t="s">
        <v>209</v>
      </c>
      <c r="U58" s="92" t="s">
        <v>209</v>
      </c>
      <c r="V58" s="92"/>
      <c r="W58" s="92">
        <v>4</v>
      </c>
    </row>
    <row r="59" spans="1:26" x14ac:dyDescent="0.3">
      <c r="A59" s="113" t="s">
        <v>218</v>
      </c>
      <c r="B59" s="92">
        <v>17</v>
      </c>
      <c r="C59" s="114" t="s">
        <v>33</v>
      </c>
      <c r="D59" s="111">
        <v>10980</v>
      </c>
      <c r="E59" s="114" t="s">
        <v>239</v>
      </c>
      <c r="F59" s="92" t="s">
        <v>209</v>
      </c>
      <c r="G59" s="92" t="s">
        <v>201</v>
      </c>
      <c r="H59" s="92" t="s">
        <v>201</v>
      </c>
      <c r="I59" s="92" t="s">
        <v>201</v>
      </c>
      <c r="J59" s="92" t="s">
        <v>78</v>
      </c>
      <c r="K59" s="92" t="s">
        <v>201</v>
      </c>
      <c r="L59" s="92" t="s">
        <v>209</v>
      </c>
      <c r="M59" s="92" t="s">
        <v>209</v>
      </c>
      <c r="N59" s="92">
        <v>0</v>
      </c>
      <c r="O59" s="92">
        <v>0</v>
      </c>
      <c r="P59" s="92">
        <v>40</v>
      </c>
      <c r="Q59" s="92">
        <v>87</v>
      </c>
      <c r="R59" s="92" t="s">
        <v>209</v>
      </c>
      <c r="S59" s="92" t="s">
        <v>78</v>
      </c>
      <c r="T59" s="92" t="s">
        <v>209</v>
      </c>
      <c r="U59" s="92" t="s">
        <v>209</v>
      </c>
      <c r="V59" s="92" t="s">
        <v>444</v>
      </c>
      <c r="W59" s="92">
        <v>4</v>
      </c>
    </row>
    <row r="60" spans="1:26" x14ac:dyDescent="0.3">
      <c r="A60" s="113" t="s">
        <v>256</v>
      </c>
      <c r="B60" s="92">
        <v>17</v>
      </c>
      <c r="C60" s="114" t="s">
        <v>35</v>
      </c>
      <c r="D60" s="111">
        <v>9777</v>
      </c>
      <c r="E60" s="114" t="s">
        <v>241</v>
      </c>
      <c r="F60" s="92" t="s">
        <v>209</v>
      </c>
      <c r="G60" s="92" t="s">
        <v>201</v>
      </c>
      <c r="H60" s="92" t="s">
        <v>209</v>
      </c>
      <c r="I60" s="92" t="s">
        <v>201</v>
      </c>
      <c r="J60" s="92" t="s">
        <v>236</v>
      </c>
      <c r="K60" s="92" t="s">
        <v>201</v>
      </c>
      <c r="L60" s="92" t="s">
        <v>209</v>
      </c>
      <c r="M60" s="92" t="s">
        <v>209</v>
      </c>
      <c r="N60" s="92">
        <v>7</v>
      </c>
      <c r="O60" s="92">
        <v>6</v>
      </c>
      <c r="P60" s="92">
        <v>5</v>
      </c>
      <c r="Q60" s="92">
        <v>19</v>
      </c>
      <c r="R60" s="92" t="s">
        <v>209</v>
      </c>
      <c r="S60" s="92" t="s">
        <v>78</v>
      </c>
      <c r="T60" s="92" t="s">
        <v>209</v>
      </c>
      <c r="U60" s="92" t="s">
        <v>209</v>
      </c>
      <c r="V60" s="92"/>
      <c r="W60" s="92">
        <v>3</v>
      </c>
    </row>
    <row r="61" spans="1:26" x14ac:dyDescent="0.3">
      <c r="A61" s="115" t="s">
        <v>253</v>
      </c>
      <c r="B61" s="91">
        <v>18</v>
      </c>
      <c r="C61" s="116" t="s">
        <v>34</v>
      </c>
      <c r="D61" s="108">
        <v>3009</v>
      </c>
      <c r="E61" s="116" t="s">
        <v>241</v>
      </c>
      <c r="F61" s="91" t="s">
        <v>209</v>
      </c>
      <c r="G61" s="91" t="s">
        <v>201</v>
      </c>
      <c r="H61" s="91" t="s">
        <v>209</v>
      </c>
      <c r="I61" s="91" t="s">
        <v>209</v>
      </c>
      <c r="J61" s="91"/>
      <c r="K61" s="91" t="s">
        <v>209</v>
      </c>
      <c r="L61" s="91" t="s">
        <v>209</v>
      </c>
      <c r="M61" s="91" t="s">
        <v>209</v>
      </c>
      <c r="N61" s="91">
        <v>1</v>
      </c>
      <c r="O61" s="91">
        <v>0</v>
      </c>
      <c r="P61" s="91">
        <v>0</v>
      </c>
      <c r="Q61" s="91">
        <v>100</v>
      </c>
      <c r="R61" s="91" t="s">
        <v>201</v>
      </c>
      <c r="S61" s="91" t="s">
        <v>78</v>
      </c>
      <c r="T61" s="91" t="s">
        <v>209</v>
      </c>
      <c r="U61" s="91" t="s">
        <v>209</v>
      </c>
      <c r="V61" s="91" t="s">
        <v>467</v>
      </c>
      <c r="W61" s="91">
        <v>3</v>
      </c>
    </row>
    <row r="62" spans="1:26" x14ac:dyDescent="0.3">
      <c r="A62" s="113" t="s">
        <v>465</v>
      </c>
      <c r="B62" s="92">
        <v>18</v>
      </c>
      <c r="C62" s="114" t="s">
        <v>33</v>
      </c>
      <c r="D62" s="111">
        <v>7425</v>
      </c>
      <c r="E62" s="114" t="s">
        <v>235</v>
      </c>
      <c r="F62" s="92" t="s">
        <v>209</v>
      </c>
      <c r="G62" s="92" t="s">
        <v>209</v>
      </c>
      <c r="H62" s="92" t="s">
        <v>201</v>
      </c>
      <c r="I62" s="92" t="s">
        <v>201</v>
      </c>
      <c r="J62" s="92" t="s">
        <v>78</v>
      </c>
      <c r="K62" s="92" t="s">
        <v>209</v>
      </c>
      <c r="L62" s="92" t="s">
        <v>209</v>
      </c>
      <c r="M62" s="92" t="s">
        <v>209</v>
      </c>
      <c r="N62" s="92">
        <v>1</v>
      </c>
      <c r="O62" s="92">
        <v>6</v>
      </c>
      <c r="P62" s="92">
        <v>50</v>
      </c>
      <c r="Q62" s="92">
        <v>81</v>
      </c>
      <c r="R62" s="92" t="s">
        <v>209</v>
      </c>
      <c r="S62" s="92" t="s">
        <v>78</v>
      </c>
      <c r="T62" s="92" t="s">
        <v>209</v>
      </c>
      <c r="U62" s="92" t="s">
        <v>209</v>
      </c>
      <c r="V62" s="92" t="s">
        <v>466</v>
      </c>
      <c r="W62" s="92">
        <v>3</v>
      </c>
    </row>
    <row r="63" spans="1:26" x14ac:dyDescent="0.3">
      <c r="A63" s="115" t="s">
        <v>256</v>
      </c>
      <c r="B63" s="91">
        <v>18</v>
      </c>
      <c r="C63" s="116" t="s">
        <v>35</v>
      </c>
      <c r="D63" s="108">
        <v>2840</v>
      </c>
      <c r="E63" s="116" t="s">
        <v>239</v>
      </c>
      <c r="F63" s="91" t="s">
        <v>209</v>
      </c>
      <c r="G63" s="91" t="s">
        <v>201</v>
      </c>
      <c r="H63" s="91" t="s">
        <v>201</v>
      </c>
      <c r="I63" s="91" t="s">
        <v>209</v>
      </c>
      <c r="J63" s="91" t="s">
        <v>236</v>
      </c>
      <c r="K63" s="91" t="s">
        <v>201</v>
      </c>
      <c r="L63" s="91" t="s">
        <v>209</v>
      </c>
      <c r="M63" s="91" t="s">
        <v>209</v>
      </c>
      <c r="N63" s="91">
        <v>12</v>
      </c>
      <c r="O63" s="91">
        <v>3</v>
      </c>
      <c r="P63" s="91">
        <v>5</v>
      </c>
      <c r="Q63" s="91">
        <v>87</v>
      </c>
      <c r="R63" s="91" t="s">
        <v>209</v>
      </c>
      <c r="S63" s="91" t="s">
        <v>78</v>
      </c>
      <c r="T63" s="91" t="s">
        <v>209</v>
      </c>
      <c r="U63" s="91" t="s">
        <v>209</v>
      </c>
      <c r="V63" s="91" t="s">
        <v>464</v>
      </c>
      <c r="W63" s="91">
        <v>4</v>
      </c>
    </row>
    <row r="64" spans="1:26" x14ac:dyDescent="0.3">
      <c r="A64" s="113" t="s">
        <v>253</v>
      </c>
      <c r="B64" s="92">
        <v>21</v>
      </c>
      <c r="C64" s="114" t="s">
        <v>33</v>
      </c>
      <c r="D64" s="111">
        <v>7333</v>
      </c>
      <c r="E64" s="114" t="s">
        <v>239</v>
      </c>
      <c r="F64" s="92" t="s">
        <v>209</v>
      </c>
      <c r="G64" s="92" t="s">
        <v>201</v>
      </c>
      <c r="H64" s="92" t="s">
        <v>201</v>
      </c>
      <c r="I64" s="92" t="s">
        <v>201</v>
      </c>
      <c r="J64" s="92" t="s">
        <v>78</v>
      </c>
      <c r="K64" s="92" t="s">
        <v>201</v>
      </c>
      <c r="L64" s="92" t="s">
        <v>209</v>
      </c>
      <c r="M64" s="92" t="s">
        <v>209</v>
      </c>
      <c r="N64" s="92">
        <v>26</v>
      </c>
      <c r="O64" s="92">
        <v>0</v>
      </c>
      <c r="P64" s="92">
        <v>35</v>
      </c>
      <c r="Q64" s="92">
        <v>65</v>
      </c>
      <c r="R64" s="92" t="s">
        <v>209</v>
      </c>
      <c r="S64" s="92" t="s">
        <v>78</v>
      </c>
      <c r="T64" s="92" t="s">
        <v>209</v>
      </c>
      <c r="U64" s="92" t="s">
        <v>209</v>
      </c>
      <c r="V64" s="92"/>
      <c r="W64" s="92">
        <v>4</v>
      </c>
    </row>
    <row r="65" spans="1:23" x14ac:dyDescent="0.3">
      <c r="A65" s="127" t="s">
        <v>378</v>
      </c>
      <c r="B65" s="91">
        <v>22</v>
      </c>
      <c r="C65" s="91" t="s">
        <v>34</v>
      </c>
      <c r="D65" s="91">
        <v>10905</v>
      </c>
      <c r="E65" s="91" t="s">
        <v>239</v>
      </c>
      <c r="F65" s="91" t="s">
        <v>209</v>
      </c>
      <c r="G65" s="91" t="s">
        <v>201</v>
      </c>
      <c r="H65" s="91" t="s">
        <v>209</v>
      </c>
      <c r="I65" s="91" t="s">
        <v>209</v>
      </c>
      <c r="J65" s="91" t="s">
        <v>78</v>
      </c>
      <c r="K65" s="91" t="s">
        <v>201</v>
      </c>
      <c r="L65" s="91" t="s">
        <v>209</v>
      </c>
      <c r="M65" s="91" t="s">
        <v>201</v>
      </c>
      <c r="N65" s="91">
        <v>0</v>
      </c>
      <c r="O65" s="91">
        <v>0</v>
      </c>
      <c r="P65" s="91">
        <v>10</v>
      </c>
      <c r="Q65" s="91">
        <v>66</v>
      </c>
      <c r="R65" s="91" t="s">
        <v>209</v>
      </c>
      <c r="S65" s="91" t="s">
        <v>78</v>
      </c>
      <c r="T65" s="91" t="s">
        <v>209</v>
      </c>
      <c r="U65" s="91" t="s">
        <v>209</v>
      </c>
      <c r="V65" s="91" t="s">
        <v>471</v>
      </c>
      <c r="W65" s="129">
        <v>3</v>
      </c>
    </row>
    <row r="66" spans="1:23" hidden="1" x14ac:dyDescent="0.3">
      <c r="A66" s="113" t="s">
        <v>356</v>
      </c>
      <c r="B66" s="92">
        <v>18</v>
      </c>
      <c r="C66" s="114" t="s">
        <v>32</v>
      </c>
      <c r="D66" s="111">
        <v>4731</v>
      </c>
      <c r="E66" s="114" t="s">
        <v>241</v>
      </c>
      <c r="F66" s="92" t="s">
        <v>209</v>
      </c>
      <c r="G66" s="92" t="s">
        <v>201</v>
      </c>
      <c r="H66" s="92" t="s">
        <v>209</v>
      </c>
      <c r="I66" s="92" t="s">
        <v>209</v>
      </c>
      <c r="J66" s="92" t="s">
        <v>78</v>
      </c>
      <c r="K66" s="92" t="s">
        <v>201</v>
      </c>
      <c r="L66" s="92" t="s">
        <v>201</v>
      </c>
      <c r="M66" s="92" t="s">
        <v>209</v>
      </c>
      <c r="N66" s="92">
        <v>31</v>
      </c>
      <c r="O66" s="92">
        <v>0</v>
      </c>
      <c r="P66" s="92">
        <v>0</v>
      </c>
      <c r="Q66" s="92">
        <v>86</v>
      </c>
      <c r="R66" s="92" t="s">
        <v>209</v>
      </c>
      <c r="S66" s="92">
        <v>1</v>
      </c>
      <c r="T66" s="92" t="s">
        <v>209</v>
      </c>
      <c r="U66" s="92" t="s">
        <v>209</v>
      </c>
      <c r="V66" s="92" t="s">
        <v>468</v>
      </c>
      <c r="W66" s="132">
        <v>5</v>
      </c>
    </row>
    <row r="67" spans="1:23" hidden="1" x14ac:dyDescent="0.3">
      <c r="A67" s="115" t="s">
        <v>349</v>
      </c>
      <c r="B67" s="91">
        <v>21</v>
      </c>
      <c r="C67" s="116" t="s">
        <v>31</v>
      </c>
      <c r="D67" s="108">
        <v>9091</v>
      </c>
      <c r="E67" s="116" t="s">
        <v>241</v>
      </c>
      <c r="F67" s="91" t="s">
        <v>201</v>
      </c>
      <c r="G67" s="91" t="s">
        <v>209</v>
      </c>
      <c r="H67" s="91" t="s">
        <v>209</v>
      </c>
      <c r="I67" s="91" t="s">
        <v>209</v>
      </c>
      <c r="J67" s="91" t="s">
        <v>78</v>
      </c>
      <c r="K67" s="91" t="s">
        <v>209</v>
      </c>
      <c r="L67" s="91" t="s">
        <v>209</v>
      </c>
      <c r="M67" s="91" t="s">
        <v>209</v>
      </c>
      <c r="N67" s="91">
        <v>0</v>
      </c>
      <c r="O67" s="91">
        <v>0</v>
      </c>
      <c r="P67" s="91">
        <v>0</v>
      </c>
      <c r="Q67" s="91">
        <v>100</v>
      </c>
      <c r="R67" s="91" t="s">
        <v>209</v>
      </c>
      <c r="S67" s="91" t="s">
        <v>78</v>
      </c>
      <c r="T67" s="91" t="s">
        <v>209</v>
      </c>
      <c r="U67" s="91" t="s">
        <v>209</v>
      </c>
      <c r="V67" s="91"/>
      <c r="W67" s="129">
        <v>5</v>
      </c>
    </row>
    <row r="68" spans="1:23" x14ac:dyDescent="0.3">
      <c r="A68" s="130" t="s">
        <v>280</v>
      </c>
      <c r="B68" s="92">
        <v>22</v>
      </c>
      <c r="C68" s="92" t="s">
        <v>35</v>
      </c>
      <c r="D68" s="92">
        <v>6833</v>
      </c>
      <c r="E68" s="92" t="s">
        <v>241</v>
      </c>
      <c r="F68" s="92" t="s">
        <v>209</v>
      </c>
      <c r="G68" s="92" t="s">
        <v>201</v>
      </c>
      <c r="H68" s="92" t="s">
        <v>201</v>
      </c>
      <c r="I68" s="92" t="s">
        <v>201</v>
      </c>
      <c r="J68" s="92" t="s">
        <v>78</v>
      </c>
      <c r="K68" s="92" t="s">
        <v>201</v>
      </c>
      <c r="L68" s="92" t="s">
        <v>209</v>
      </c>
      <c r="M68" s="92" t="s">
        <v>209</v>
      </c>
      <c r="N68" s="92">
        <v>1</v>
      </c>
      <c r="O68" s="92">
        <v>6</v>
      </c>
      <c r="P68" s="92">
        <v>25</v>
      </c>
      <c r="Q68" s="92">
        <v>33</v>
      </c>
      <c r="R68" s="92" t="s">
        <v>209</v>
      </c>
      <c r="S68" s="92" t="s">
        <v>78</v>
      </c>
      <c r="T68" s="92" t="s">
        <v>209</v>
      </c>
      <c r="U68" s="92" t="s">
        <v>209</v>
      </c>
      <c r="V68" s="92"/>
      <c r="W68" s="132">
        <v>4</v>
      </c>
    </row>
    <row r="69" spans="1:23" hidden="1" x14ac:dyDescent="0.3">
      <c r="A69" s="115" t="s">
        <v>350</v>
      </c>
      <c r="B69" s="91">
        <v>19</v>
      </c>
      <c r="C69" s="116" t="s">
        <v>30</v>
      </c>
      <c r="D69" s="108">
        <v>1165</v>
      </c>
      <c r="E69" s="116" t="s">
        <v>241</v>
      </c>
      <c r="F69" s="91" t="s">
        <v>209</v>
      </c>
      <c r="G69" s="91" t="s">
        <v>201</v>
      </c>
      <c r="H69" s="91" t="s">
        <v>209</v>
      </c>
      <c r="I69" s="91" t="s">
        <v>209</v>
      </c>
      <c r="J69" s="91" t="s">
        <v>78</v>
      </c>
      <c r="K69" s="91" t="s">
        <v>209</v>
      </c>
      <c r="L69" s="91" t="s">
        <v>209</v>
      </c>
      <c r="M69" s="91" t="s">
        <v>209</v>
      </c>
      <c r="N69" s="91">
        <v>0</v>
      </c>
      <c r="O69" s="91">
        <v>3</v>
      </c>
      <c r="P69" s="91">
        <v>0</v>
      </c>
      <c r="Q69" s="91">
        <v>100</v>
      </c>
      <c r="R69" s="91" t="s">
        <v>201</v>
      </c>
      <c r="S69" s="91" t="s">
        <v>78</v>
      </c>
      <c r="T69" s="91" t="s">
        <v>209</v>
      </c>
      <c r="U69" s="91" t="s">
        <v>209</v>
      </c>
      <c r="V69" s="91" t="s">
        <v>469</v>
      </c>
      <c r="W69" s="129">
        <v>4</v>
      </c>
    </row>
    <row r="70" spans="1:23" hidden="1" x14ac:dyDescent="0.3">
      <c r="A70" s="113" t="s">
        <v>356</v>
      </c>
      <c r="B70" s="92">
        <v>21</v>
      </c>
      <c r="C70" s="114" t="s">
        <v>32</v>
      </c>
      <c r="D70" s="111">
        <v>288</v>
      </c>
      <c r="E70" s="114" t="s">
        <v>241</v>
      </c>
      <c r="F70" s="92" t="s">
        <v>209</v>
      </c>
      <c r="G70" s="92" t="s">
        <v>201</v>
      </c>
      <c r="H70" s="92" t="s">
        <v>201</v>
      </c>
      <c r="I70" s="92" t="s">
        <v>209</v>
      </c>
      <c r="J70" s="92" t="s">
        <v>78</v>
      </c>
      <c r="K70" s="92" t="s">
        <v>201</v>
      </c>
      <c r="L70" s="92" t="s">
        <v>209</v>
      </c>
      <c r="M70" s="92" t="s">
        <v>209</v>
      </c>
      <c r="N70" s="92">
        <v>0</v>
      </c>
      <c r="O70" s="92">
        <v>0</v>
      </c>
      <c r="P70" s="92">
        <v>0</v>
      </c>
      <c r="Q70" s="92">
        <v>100</v>
      </c>
      <c r="R70" s="92" t="s">
        <v>209</v>
      </c>
      <c r="S70" s="92" t="s">
        <v>78</v>
      </c>
      <c r="T70" s="92" t="s">
        <v>209</v>
      </c>
      <c r="U70" s="92" t="s">
        <v>209</v>
      </c>
      <c r="V70" s="92" t="s">
        <v>470</v>
      </c>
      <c r="W70" s="132">
        <v>4</v>
      </c>
    </row>
    <row r="71" spans="1:23" x14ac:dyDescent="0.3">
      <c r="A71" s="127" t="s">
        <v>250</v>
      </c>
      <c r="B71" s="91">
        <v>22</v>
      </c>
      <c r="C71" s="91" t="s">
        <v>33</v>
      </c>
      <c r="D71" s="91">
        <v>10183</v>
      </c>
      <c r="E71" s="91" t="s">
        <v>235</v>
      </c>
      <c r="F71" s="91" t="s">
        <v>209</v>
      </c>
      <c r="G71" s="91" t="s">
        <v>201</v>
      </c>
      <c r="H71" s="91" t="s">
        <v>201</v>
      </c>
      <c r="I71" s="91" t="s">
        <v>209</v>
      </c>
      <c r="J71" s="91" t="s">
        <v>78</v>
      </c>
      <c r="K71" s="91" t="s">
        <v>201</v>
      </c>
      <c r="L71" s="91" t="s">
        <v>209</v>
      </c>
      <c r="M71" s="91" t="s">
        <v>201</v>
      </c>
      <c r="N71" s="91">
        <v>0</v>
      </c>
      <c r="O71" s="91">
        <v>0</v>
      </c>
      <c r="P71" s="91">
        <v>60</v>
      </c>
      <c r="Q71" s="91">
        <v>83</v>
      </c>
      <c r="R71" s="91" t="s">
        <v>209</v>
      </c>
      <c r="S71" s="91" t="s">
        <v>78</v>
      </c>
      <c r="T71" s="91" t="s">
        <v>209</v>
      </c>
      <c r="U71" s="91" t="s">
        <v>209</v>
      </c>
      <c r="V71" s="91" t="s">
        <v>472</v>
      </c>
      <c r="W71" s="129">
        <v>4</v>
      </c>
    </row>
    <row r="72" spans="1:23" x14ac:dyDescent="0.3">
      <c r="A72" s="127" t="s">
        <v>378</v>
      </c>
      <c r="B72" s="91">
        <v>23</v>
      </c>
      <c r="C72" s="91" t="s">
        <v>34</v>
      </c>
      <c r="D72" s="91">
        <v>698</v>
      </c>
      <c r="E72" s="91" t="s">
        <v>241</v>
      </c>
      <c r="F72" s="91" t="s">
        <v>209</v>
      </c>
      <c r="G72" s="91" t="s">
        <v>201</v>
      </c>
      <c r="H72" s="91" t="s">
        <v>201</v>
      </c>
      <c r="I72" s="91" t="s">
        <v>209</v>
      </c>
      <c r="J72" s="91"/>
      <c r="K72" s="91" t="s">
        <v>209</v>
      </c>
      <c r="L72" s="91" t="s">
        <v>209</v>
      </c>
      <c r="M72" s="91" t="s">
        <v>209</v>
      </c>
      <c r="N72" s="91">
        <v>0</v>
      </c>
      <c r="O72" s="91">
        <v>0</v>
      </c>
      <c r="P72" s="91">
        <v>0</v>
      </c>
      <c r="Q72" s="91">
        <v>100</v>
      </c>
      <c r="R72" s="91" t="s">
        <v>209</v>
      </c>
      <c r="S72" s="91" t="s">
        <v>78</v>
      </c>
      <c r="T72" s="91" t="s">
        <v>201</v>
      </c>
      <c r="U72" s="91" t="s">
        <v>209</v>
      </c>
      <c r="V72" s="91" t="s">
        <v>476</v>
      </c>
      <c r="W72" s="129">
        <v>3</v>
      </c>
    </row>
    <row r="73" spans="1:23" x14ac:dyDescent="0.3">
      <c r="A73" s="130" t="s">
        <v>250</v>
      </c>
      <c r="B73" s="92">
        <v>23</v>
      </c>
      <c r="C73" s="92" t="s">
        <v>33</v>
      </c>
      <c r="D73" s="92">
        <v>9501</v>
      </c>
      <c r="E73" s="92" t="s">
        <v>239</v>
      </c>
      <c r="F73" s="92" t="s">
        <v>209</v>
      </c>
      <c r="G73" s="92" t="s">
        <v>201</v>
      </c>
      <c r="H73" s="92" t="s">
        <v>209</v>
      </c>
      <c r="I73" s="92" t="s">
        <v>201</v>
      </c>
      <c r="J73" s="92" t="s">
        <v>78</v>
      </c>
      <c r="K73" s="92" t="s">
        <v>209</v>
      </c>
      <c r="L73" s="92" t="s">
        <v>209</v>
      </c>
      <c r="M73" s="92" t="s">
        <v>209</v>
      </c>
      <c r="N73" s="92">
        <v>0</v>
      </c>
      <c r="O73" s="92">
        <v>0</v>
      </c>
      <c r="P73" s="92">
        <v>75</v>
      </c>
      <c r="Q73" s="92">
        <v>90</v>
      </c>
      <c r="R73" s="92" t="s">
        <v>209</v>
      </c>
      <c r="S73" s="92" t="s">
        <v>78</v>
      </c>
      <c r="T73" s="92" t="s">
        <v>209</v>
      </c>
      <c r="U73" s="92" t="s">
        <v>209</v>
      </c>
      <c r="V73" s="92" t="s">
        <v>472</v>
      </c>
      <c r="W73" s="132">
        <v>4</v>
      </c>
    </row>
    <row r="74" spans="1:23" hidden="1" x14ac:dyDescent="0.3">
      <c r="A74" s="130" t="s">
        <v>356</v>
      </c>
      <c r="B74" s="92">
        <v>22</v>
      </c>
      <c r="C74" s="92" t="s">
        <v>32</v>
      </c>
      <c r="D74" s="92">
        <v>1212</v>
      </c>
      <c r="E74" s="92" t="s">
        <v>241</v>
      </c>
      <c r="F74" s="92" t="s">
        <v>209</v>
      </c>
      <c r="G74" s="92" t="s">
        <v>201</v>
      </c>
      <c r="H74" s="92" t="s">
        <v>201</v>
      </c>
      <c r="I74" s="92" t="s">
        <v>209</v>
      </c>
      <c r="J74" s="92" t="s">
        <v>78</v>
      </c>
      <c r="K74" s="92" t="s">
        <v>201</v>
      </c>
      <c r="L74" s="92" t="s">
        <v>209</v>
      </c>
      <c r="M74" s="92" t="s">
        <v>209</v>
      </c>
      <c r="N74" s="92">
        <v>3</v>
      </c>
      <c r="O74" s="92">
        <v>0</v>
      </c>
      <c r="P74" s="92">
        <v>0</v>
      </c>
      <c r="Q74" s="92">
        <v>14</v>
      </c>
      <c r="R74" s="92" t="s">
        <v>209</v>
      </c>
      <c r="S74" s="92" t="s">
        <v>78</v>
      </c>
      <c r="T74" s="92" t="s">
        <v>209</v>
      </c>
      <c r="U74" s="92" t="s">
        <v>209</v>
      </c>
      <c r="V74" s="92" t="s">
        <v>473</v>
      </c>
      <c r="W74" s="132">
        <v>3</v>
      </c>
    </row>
    <row r="75" spans="1:23" hidden="1" x14ac:dyDescent="0.3">
      <c r="A75" s="127" t="s">
        <v>350</v>
      </c>
      <c r="B75" s="91">
        <v>22</v>
      </c>
      <c r="C75" s="91" t="s">
        <v>30</v>
      </c>
      <c r="D75" s="91">
        <v>2403</v>
      </c>
      <c r="E75" s="91" t="s">
        <v>235</v>
      </c>
      <c r="F75" s="91" t="s">
        <v>209</v>
      </c>
      <c r="G75" s="91" t="s">
        <v>201</v>
      </c>
      <c r="H75" s="91" t="s">
        <v>209</v>
      </c>
      <c r="I75" s="91" t="s">
        <v>209</v>
      </c>
      <c r="J75" s="91" t="s">
        <v>78</v>
      </c>
      <c r="K75" s="91" t="s">
        <v>201</v>
      </c>
      <c r="L75" s="91" t="s">
        <v>201</v>
      </c>
      <c r="M75" s="91" t="s">
        <v>209</v>
      </c>
      <c r="N75" s="91">
        <v>3</v>
      </c>
      <c r="O75" s="91">
        <v>0</v>
      </c>
      <c r="P75" s="91">
        <v>15</v>
      </c>
      <c r="Q75" s="91">
        <v>100</v>
      </c>
      <c r="R75" s="91" t="s">
        <v>209</v>
      </c>
      <c r="S75" s="91" t="s">
        <v>78</v>
      </c>
      <c r="T75" s="91" t="s">
        <v>209</v>
      </c>
      <c r="U75" s="91" t="s">
        <v>209</v>
      </c>
      <c r="V75" s="91" t="s">
        <v>474</v>
      </c>
      <c r="W75" s="129">
        <v>4</v>
      </c>
    </row>
    <row r="76" spans="1:23" hidden="1" x14ac:dyDescent="0.3">
      <c r="A76" s="130" t="s">
        <v>349</v>
      </c>
      <c r="B76" s="92">
        <v>22</v>
      </c>
      <c r="C76" s="92" t="s">
        <v>31</v>
      </c>
      <c r="D76" s="92">
        <v>11176</v>
      </c>
      <c r="E76" s="92" t="s">
        <v>241</v>
      </c>
      <c r="F76" s="92" t="s">
        <v>209</v>
      </c>
      <c r="G76" s="92" t="s">
        <v>201</v>
      </c>
      <c r="H76" s="92" t="s">
        <v>209</v>
      </c>
      <c r="I76" s="92" t="s">
        <v>209</v>
      </c>
      <c r="J76" s="92" t="s">
        <v>78</v>
      </c>
      <c r="K76" s="92" t="s">
        <v>201</v>
      </c>
      <c r="L76" s="92" t="s">
        <v>209</v>
      </c>
      <c r="M76" s="92" t="s">
        <v>209</v>
      </c>
      <c r="N76" s="92">
        <v>3</v>
      </c>
      <c r="O76" s="92">
        <v>9</v>
      </c>
      <c r="P76" s="92">
        <v>0</v>
      </c>
      <c r="Q76" s="92">
        <v>59</v>
      </c>
      <c r="R76" s="92" t="s">
        <v>209</v>
      </c>
      <c r="S76" s="92" t="s">
        <v>78</v>
      </c>
      <c r="T76" s="92" t="s">
        <v>209</v>
      </c>
      <c r="U76" s="92" t="s">
        <v>209</v>
      </c>
      <c r="V76" s="92" t="s">
        <v>475</v>
      </c>
      <c r="W76" s="132">
        <v>5</v>
      </c>
    </row>
    <row r="77" spans="1:23" x14ac:dyDescent="0.3">
      <c r="A77" s="127" t="s">
        <v>280</v>
      </c>
      <c r="B77" s="91">
        <v>23</v>
      </c>
      <c r="C77" s="91" t="s">
        <v>35</v>
      </c>
      <c r="D77" s="91">
        <v>10933</v>
      </c>
      <c r="E77" s="91" t="s">
        <v>235</v>
      </c>
      <c r="F77" s="91" t="s">
        <v>209</v>
      </c>
      <c r="G77" s="91" t="s">
        <v>201</v>
      </c>
      <c r="H77" s="91" t="s">
        <v>209</v>
      </c>
      <c r="I77" s="91" t="s">
        <v>209</v>
      </c>
      <c r="J77" s="91" t="s">
        <v>78</v>
      </c>
      <c r="K77" s="91" t="s">
        <v>209</v>
      </c>
      <c r="L77" s="91" t="s">
        <v>209</v>
      </c>
      <c r="M77" s="91" t="s">
        <v>209</v>
      </c>
      <c r="N77" s="91">
        <v>0</v>
      </c>
      <c r="O77" s="91">
        <v>0</v>
      </c>
      <c r="P77" s="91">
        <v>0</v>
      </c>
      <c r="Q77" s="91">
        <v>100</v>
      </c>
      <c r="R77" s="91" t="s">
        <v>201</v>
      </c>
      <c r="S77" s="91" t="s">
        <v>78</v>
      </c>
      <c r="T77" s="91" t="s">
        <v>201</v>
      </c>
      <c r="U77" s="91" t="s">
        <v>209</v>
      </c>
      <c r="V77" s="91" t="s">
        <v>477</v>
      </c>
      <c r="W77" s="129">
        <v>3</v>
      </c>
    </row>
    <row r="78" spans="1:23" x14ac:dyDescent="0.3">
      <c r="A78" s="127" t="s">
        <v>480</v>
      </c>
      <c r="B78" s="91">
        <v>24</v>
      </c>
      <c r="C78" s="91" t="s">
        <v>34</v>
      </c>
      <c r="D78" s="91">
        <v>10988</v>
      </c>
      <c r="E78" s="91" t="s">
        <v>235</v>
      </c>
      <c r="F78" s="91" t="s">
        <v>209</v>
      </c>
      <c r="G78" s="91" t="s">
        <v>201</v>
      </c>
      <c r="H78" s="91" t="s">
        <v>209</v>
      </c>
      <c r="I78" s="91" t="s">
        <v>201</v>
      </c>
      <c r="J78" s="91" t="s">
        <v>78</v>
      </c>
      <c r="K78" s="91" t="s">
        <v>201</v>
      </c>
      <c r="L78" s="91" t="s">
        <v>209</v>
      </c>
      <c r="M78" s="91" t="s">
        <v>209</v>
      </c>
      <c r="N78" s="91">
        <v>3</v>
      </c>
      <c r="O78" s="91">
        <v>0</v>
      </c>
      <c r="P78" s="91">
        <v>0</v>
      </c>
      <c r="Q78" s="91">
        <v>100</v>
      </c>
      <c r="R78" s="91" t="s">
        <v>209</v>
      </c>
      <c r="S78" s="91" t="s">
        <v>78</v>
      </c>
      <c r="T78" s="91" t="s">
        <v>201</v>
      </c>
      <c r="U78" s="91" t="s">
        <v>209</v>
      </c>
      <c r="V78" s="91" t="s">
        <v>481</v>
      </c>
      <c r="W78" s="129">
        <v>3</v>
      </c>
    </row>
    <row r="79" spans="1:23" x14ac:dyDescent="0.3">
      <c r="A79" s="130" t="s">
        <v>250</v>
      </c>
      <c r="B79" s="92">
        <v>24</v>
      </c>
      <c r="C79" s="92" t="s">
        <v>33</v>
      </c>
      <c r="D79" s="92">
        <v>1410</v>
      </c>
      <c r="E79" s="92" t="s">
        <v>241</v>
      </c>
      <c r="F79" s="92" t="s">
        <v>209</v>
      </c>
      <c r="G79" s="92" t="s">
        <v>201</v>
      </c>
      <c r="H79" s="92" t="s">
        <v>209</v>
      </c>
      <c r="I79" s="92" t="s">
        <v>201</v>
      </c>
      <c r="J79" s="92" t="s">
        <v>78</v>
      </c>
      <c r="K79" s="92" t="s">
        <v>201</v>
      </c>
      <c r="L79" s="92" t="s">
        <v>209</v>
      </c>
      <c r="M79" s="92" t="s">
        <v>201</v>
      </c>
      <c r="N79" s="92">
        <v>0</v>
      </c>
      <c r="O79" s="92">
        <v>3</v>
      </c>
      <c r="P79" s="92">
        <v>30</v>
      </c>
      <c r="Q79" s="92">
        <v>81</v>
      </c>
      <c r="R79" s="92" t="s">
        <v>209</v>
      </c>
      <c r="S79" s="92" t="s">
        <v>78</v>
      </c>
      <c r="T79" s="92" t="s">
        <v>209</v>
      </c>
      <c r="U79" s="92" t="s">
        <v>209</v>
      </c>
      <c r="V79" s="92" t="s">
        <v>482</v>
      </c>
      <c r="W79" s="132">
        <v>4</v>
      </c>
    </row>
    <row r="80" spans="1:23" hidden="1" x14ac:dyDescent="0.3">
      <c r="A80" s="130" t="s">
        <v>349</v>
      </c>
      <c r="B80" s="92">
        <v>23</v>
      </c>
      <c r="C80" s="92" t="s">
        <v>31</v>
      </c>
      <c r="D80" s="92">
        <v>2080</v>
      </c>
      <c r="E80" s="92" t="s">
        <v>241</v>
      </c>
      <c r="F80" s="92" t="s">
        <v>209</v>
      </c>
      <c r="G80" s="92" t="s">
        <v>201</v>
      </c>
      <c r="H80" s="92" t="s">
        <v>209</v>
      </c>
      <c r="I80" s="92" t="s">
        <v>209</v>
      </c>
      <c r="J80" s="92" t="s">
        <v>78</v>
      </c>
      <c r="K80" s="92" t="s">
        <v>201</v>
      </c>
      <c r="L80" s="92" t="s">
        <v>209</v>
      </c>
      <c r="M80" s="92" t="s">
        <v>209</v>
      </c>
      <c r="N80" s="92">
        <v>6</v>
      </c>
      <c r="O80" s="92">
        <v>0</v>
      </c>
      <c r="P80" s="92">
        <v>15</v>
      </c>
      <c r="Q80" s="92">
        <v>32</v>
      </c>
      <c r="R80" s="92" t="s">
        <v>209</v>
      </c>
      <c r="S80" s="92" t="s">
        <v>78</v>
      </c>
      <c r="T80" s="92" t="s">
        <v>209</v>
      </c>
      <c r="U80" s="92" t="s">
        <v>209</v>
      </c>
      <c r="V80" s="92" t="s">
        <v>478</v>
      </c>
      <c r="W80" s="132"/>
    </row>
    <row r="81" spans="1:23" hidden="1" x14ac:dyDescent="0.3">
      <c r="A81" s="127" t="s">
        <v>350</v>
      </c>
      <c r="B81" s="91">
        <v>23</v>
      </c>
      <c r="C81" s="91" t="s">
        <v>30</v>
      </c>
      <c r="D81" s="91">
        <v>3216</v>
      </c>
      <c r="E81" s="91" t="s">
        <v>239</v>
      </c>
      <c r="F81" s="91" t="s">
        <v>209</v>
      </c>
      <c r="G81" s="91" t="s">
        <v>201</v>
      </c>
      <c r="H81" s="91" t="s">
        <v>209</v>
      </c>
      <c r="I81" s="91" t="s">
        <v>209</v>
      </c>
      <c r="J81" s="91" t="s">
        <v>78</v>
      </c>
      <c r="K81" s="91" t="s">
        <v>201</v>
      </c>
      <c r="L81" s="91" t="s">
        <v>209</v>
      </c>
      <c r="M81" s="91" t="s">
        <v>209</v>
      </c>
      <c r="N81" s="91">
        <v>5</v>
      </c>
      <c r="O81" s="91">
        <v>21</v>
      </c>
      <c r="P81" s="91">
        <v>80</v>
      </c>
      <c r="Q81" s="91">
        <v>85</v>
      </c>
      <c r="R81" s="91" t="s">
        <v>209</v>
      </c>
      <c r="S81" s="91" t="s">
        <v>78</v>
      </c>
      <c r="T81" s="91" t="s">
        <v>209</v>
      </c>
      <c r="U81" s="91" t="s">
        <v>209</v>
      </c>
      <c r="V81" s="91"/>
      <c r="W81" s="129">
        <v>5</v>
      </c>
    </row>
    <row r="82" spans="1:23" hidden="1" x14ac:dyDescent="0.3">
      <c r="A82" s="130" t="s">
        <v>356</v>
      </c>
      <c r="B82" s="92">
        <v>23</v>
      </c>
      <c r="C82" s="92" t="s">
        <v>32</v>
      </c>
      <c r="D82" s="92">
        <v>11479</v>
      </c>
      <c r="E82" s="92" t="s">
        <v>241</v>
      </c>
      <c r="F82" s="92" t="s">
        <v>209</v>
      </c>
      <c r="G82" s="92" t="s">
        <v>201</v>
      </c>
      <c r="H82" s="92" t="s">
        <v>209</v>
      </c>
      <c r="I82" s="92" t="s">
        <v>209</v>
      </c>
      <c r="J82" s="92" t="s">
        <v>78</v>
      </c>
      <c r="K82" s="92" t="s">
        <v>201</v>
      </c>
      <c r="L82" s="92" t="s">
        <v>209</v>
      </c>
      <c r="M82" s="92" t="s">
        <v>209</v>
      </c>
      <c r="N82" s="92">
        <v>18</v>
      </c>
      <c r="O82" s="92">
        <v>0</v>
      </c>
      <c r="P82" s="92">
        <v>0</v>
      </c>
      <c r="Q82" s="92">
        <v>58</v>
      </c>
      <c r="R82" s="92" t="s">
        <v>209</v>
      </c>
      <c r="S82" s="92" t="s">
        <v>78</v>
      </c>
      <c r="T82" s="92" t="s">
        <v>201</v>
      </c>
      <c r="U82" s="92" t="s">
        <v>209</v>
      </c>
      <c r="V82" s="92" t="s">
        <v>479</v>
      </c>
      <c r="W82" s="132">
        <v>4</v>
      </c>
    </row>
    <row r="83" spans="1:23" x14ac:dyDescent="0.3">
      <c r="A83" s="127" t="s">
        <v>280</v>
      </c>
      <c r="B83" s="91">
        <v>24</v>
      </c>
      <c r="C83" s="91" t="s">
        <v>35</v>
      </c>
      <c r="D83" s="91">
        <v>3009</v>
      </c>
      <c r="E83" s="91" t="s">
        <v>241</v>
      </c>
      <c r="F83" s="91" t="s">
        <v>209</v>
      </c>
      <c r="G83" s="91" t="s">
        <v>201</v>
      </c>
      <c r="H83" s="91" t="s">
        <v>201</v>
      </c>
      <c r="I83" s="91" t="s">
        <v>209</v>
      </c>
      <c r="J83" s="91" t="s">
        <v>78</v>
      </c>
      <c r="K83" s="91" t="s">
        <v>201</v>
      </c>
      <c r="L83" s="91" t="s">
        <v>209</v>
      </c>
      <c r="M83" s="91" t="s">
        <v>209</v>
      </c>
      <c r="N83" s="91">
        <v>1</v>
      </c>
      <c r="O83" s="91">
        <v>3</v>
      </c>
      <c r="P83" s="91">
        <v>10</v>
      </c>
      <c r="Q83" s="91">
        <v>34</v>
      </c>
      <c r="R83" s="91" t="s">
        <v>201</v>
      </c>
      <c r="S83" s="91" t="s">
        <v>78</v>
      </c>
      <c r="T83" s="91" t="s">
        <v>209</v>
      </c>
      <c r="U83" s="91" t="s">
        <v>209</v>
      </c>
      <c r="V83" s="91" t="s">
        <v>483</v>
      </c>
      <c r="W83" s="129">
        <v>2</v>
      </c>
    </row>
    <row r="84" spans="1:23" x14ac:dyDescent="0.3">
      <c r="A84" s="113" t="s">
        <v>253</v>
      </c>
      <c r="B84" s="92">
        <v>25</v>
      </c>
      <c r="C84" s="114" t="s">
        <v>34</v>
      </c>
      <c r="D84" s="111">
        <v>3243</v>
      </c>
      <c r="E84" s="114" t="s">
        <v>239</v>
      </c>
      <c r="F84" s="92" t="s">
        <v>209</v>
      </c>
      <c r="G84" s="92" t="s">
        <v>201</v>
      </c>
      <c r="H84" s="92" t="s">
        <v>201</v>
      </c>
      <c r="I84" s="92" t="s">
        <v>201</v>
      </c>
      <c r="J84" s="92" t="s">
        <v>78</v>
      </c>
      <c r="K84" s="92" t="s">
        <v>201</v>
      </c>
      <c r="L84" s="92" t="s">
        <v>209</v>
      </c>
      <c r="M84" s="92" t="s">
        <v>209</v>
      </c>
      <c r="N84" s="92">
        <v>0</v>
      </c>
      <c r="O84" s="92">
        <v>0</v>
      </c>
      <c r="P84" s="92">
        <v>35</v>
      </c>
      <c r="Q84" s="92">
        <v>100</v>
      </c>
      <c r="R84" s="92" t="s">
        <v>201</v>
      </c>
      <c r="S84" s="92" t="s">
        <v>78</v>
      </c>
      <c r="T84" s="92" t="s">
        <v>209</v>
      </c>
      <c r="U84" s="92" t="s">
        <v>209</v>
      </c>
      <c r="V84" s="92" t="s">
        <v>486</v>
      </c>
      <c r="W84" s="132">
        <v>5</v>
      </c>
    </row>
    <row r="85" spans="1:23" x14ac:dyDescent="0.3">
      <c r="A85" s="115" t="s">
        <v>250</v>
      </c>
      <c r="B85" s="91">
        <v>25</v>
      </c>
      <c r="C85" s="116" t="s">
        <v>33</v>
      </c>
      <c r="D85" s="108">
        <v>7755</v>
      </c>
      <c r="E85" s="116" t="s">
        <v>241</v>
      </c>
      <c r="F85" s="91" t="s">
        <v>209</v>
      </c>
      <c r="G85" s="91" t="s">
        <v>201</v>
      </c>
      <c r="H85" s="91" t="s">
        <v>209</v>
      </c>
      <c r="I85" s="91" t="s">
        <v>209</v>
      </c>
      <c r="J85" s="91" t="s">
        <v>78</v>
      </c>
      <c r="K85" s="91" t="s">
        <v>201</v>
      </c>
      <c r="L85" s="91" t="s">
        <v>209</v>
      </c>
      <c r="M85" s="91" t="s">
        <v>209</v>
      </c>
      <c r="N85" s="91">
        <v>4</v>
      </c>
      <c r="O85" s="91">
        <v>6</v>
      </c>
      <c r="P85" s="91">
        <v>15</v>
      </c>
      <c r="Q85" s="91">
        <v>51</v>
      </c>
      <c r="R85" s="91" t="s">
        <v>209</v>
      </c>
      <c r="S85" s="91" t="s">
        <v>78</v>
      </c>
      <c r="T85" s="91" t="s">
        <v>209</v>
      </c>
      <c r="U85" s="91" t="s">
        <v>209</v>
      </c>
      <c r="V85" s="91" t="s">
        <v>487</v>
      </c>
      <c r="W85" s="129">
        <v>3</v>
      </c>
    </row>
    <row r="86" spans="1:23" hidden="1" x14ac:dyDescent="0.3">
      <c r="A86" s="130" t="s">
        <v>356</v>
      </c>
      <c r="B86" s="92">
        <v>24</v>
      </c>
      <c r="C86" s="92" t="s">
        <v>32</v>
      </c>
      <c r="D86" s="92">
        <v>2840</v>
      </c>
      <c r="E86" s="92" t="s">
        <v>241</v>
      </c>
      <c r="F86" s="92" t="s">
        <v>209</v>
      </c>
      <c r="G86" s="92" t="s">
        <v>201</v>
      </c>
      <c r="H86" s="92" t="s">
        <v>209</v>
      </c>
      <c r="I86" s="92" t="s">
        <v>209</v>
      </c>
      <c r="J86" s="92"/>
      <c r="K86" s="92" t="s">
        <v>209</v>
      </c>
      <c r="L86" s="92" t="s">
        <v>209</v>
      </c>
      <c r="M86" s="92" t="s">
        <v>209</v>
      </c>
      <c r="N86" s="92">
        <v>8</v>
      </c>
      <c r="O86" s="92">
        <v>0</v>
      </c>
      <c r="P86" s="92">
        <v>0</v>
      </c>
      <c r="Q86" s="92">
        <v>92</v>
      </c>
      <c r="R86" s="92" t="s">
        <v>209</v>
      </c>
      <c r="S86" s="92" t="s">
        <v>78</v>
      </c>
      <c r="T86" s="92" t="s">
        <v>209</v>
      </c>
      <c r="U86" s="92" t="s">
        <v>209</v>
      </c>
      <c r="V86" s="92" t="s">
        <v>484</v>
      </c>
      <c r="W86" s="132">
        <v>3</v>
      </c>
    </row>
    <row r="87" spans="1:23" hidden="1" x14ac:dyDescent="0.3">
      <c r="A87" s="127" t="s">
        <v>349</v>
      </c>
      <c r="B87" s="91">
        <v>24</v>
      </c>
      <c r="C87" s="91" t="s">
        <v>31</v>
      </c>
      <c r="D87" s="91">
        <v>9777</v>
      </c>
      <c r="E87" s="91" t="s">
        <v>241</v>
      </c>
      <c r="F87" s="91" t="s">
        <v>209</v>
      </c>
      <c r="G87" s="91" t="s">
        <v>201</v>
      </c>
      <c r="H87" s="91" t="s">
        <v>209</v>
      </c>
      <c r="I87" s="91" t="s">
        <v>209</v>
      </c>
      <c r="J87" s="91" t="s">
        <v>78</v>
      </c>
      <c r="K87" s="91" t="s">
        <v>201</v>
      </c>
      <c r="L87" s="91" t="s">
        <v>209</v>
      </c>
      <c r="M87" s="91" t="s">
        <v>209</v>
      </c>
      <c r="N87" s="91">
        <v>0</v>
      </c>
      <c r="O87" s="91">
        <v>0</v>
      </c>
      <c r="P87" s="91">
        <v>0</v>
      </c>
      <c r="Q87" s="91">
        <v>100</v>
      </c>
      <c r="R87" s="91" t="s">
        <v>209</v>
      </c>
      <c r="S87" s="91" t="s">
        <v>78</v>
      </c>
      <c r="T87" s="91" t="s">
        <v>209</v>
      </c>
      <c r="U87" s="91" t="s">
        <v>209</v>
      </c>
      <c r="V87" s="91" t="s">
        <v>485</v>
      </c>
      <c r="W87" s="129"/>
    </row>
    <row r="88" spans="1:23" x14ac:dyDescent="0.3">
      <c r="A88" s="113" t="s">
        <v>280</v>
      </c>
      <c r="B88" s="92">
        <v>25</v>
      </c>
      <c r="C88" s="114" t="s">
        <v>35</v>
      </c>
      <c r="D88" s="111">
        <v>987</v>
      </c>
      <c r="E88" s="114" t="s">
        <v>235</v>
      </c>
      <c r="F88" s="92" t="s">
        <v>209</v>
      </c>
      <c r="G88" s="92" t="s">
        <v>201</v>
      </c>
      <c r="H88" s="92" t="s">
        <v>201</v>
      </c>
      <c r="I88" s="92" t="s">
        <v>201</v>
      </c>
      <c r="J88" s="92" t="s">
        <v>78</v>
      </c>
      <c r="K88" s="92" t="s">
        <v>201</v>
      </c>
      <c r="L88" s="92" t="s">
        <v>209</v>
      </c>
      <c r="M88" s="92" t="s">
        <v>209</v>
      </c>
      <c r="N88" s="92">
        <v>0</v>
      </c>
      <c r="O88" s="92">
        <v>0</v>
      </c>
      <c r="P88" s="92">
        <v>60</v>
      </c>
      <c r="Q88" s="92">
        <v>82</v>
      </c>
      <c r="R88" s="92" t="s">
        <v>209</v>
      </c>
      <c r="S88" s="92" t="s">
        <v>78</v>
      </c>
      <c r="T88" s="92" t="s">
        <v>209</v>
      </c>
      <c r="U88" s="92" t="s">
        <v>209</v>
      </c>
      <c r="V88" s="92" t="s">
        <v>488</v>
      </c>
      <c r="W88" s="132">
        <v>4</v>
      </c>
    </row>
    <row r="89" spans="1:23" x14ac:dyDescent="0.3">
      <c r="A89" s="113" t="s">
        <v>234</v>
      </c>
      <c r="B89" s="92">
        <v>26</v>
      </c>
      <c r="C89" s="114" t="s">
        <v>35</v>
      </c>
      <c r="D89" s="111">
        <v>10380</v>
      </c>
      <c r="E89" s="114" t="s">
        <v>235</v>
      </c>
      <c r="F89" s="92" t="s">
        <v>209</v>
      </c>
      <c r="G89" s="92" t="s">
        <v>201</v>
      </c>
      <c r="H89" s="92" t="s">
        <v>209</v>
      </c>
      <c r="I89" s="92" t="s">
        <v>209</v>
      </c>
      <c r="J89" s="92" t="s">
        <v>236</v>
      </c>
      <c r="K89" s="92" t="s">
        <v>201</v>
      </c>
      <c r="L89" s="92" t="s">
        <v>209</v>
      </c>
      <c r="M89" s="92" t="s">
        <v>209</v>
      </c>
      <c r="N89" s="92">
        <v>0</v>
      </c>
      <c r="O89" s="92">
        <v>0</v>
      </c>
      <c r="P89" s="92">
        <v>30</v>
      </c>
      <c r="Q89" s="92">
        <v>51</v>
      </c>
      <c r="R89" s="92" t="s">
        <v>209</v>
      </c>
      <c r="S89" s="92" t="s">
        <v>78</v>
      </c>
      <c r="T89" s="92" t="s">
        <v>209</v>
      </c>
      <c r="U89" s="92" t="s">
        <v>209</v>
      </c>
      <c r="V89" s="92" t="s">
        <v>495</v>
      </c>
      <c r="W89" s="132">
        <v>4</v>
      </c>
    </row>
    <row r="90" spans="1:23" x14ac:dyDescent="0.3">
      <c r="A90" s="115" t="s">
        <v>250</v>
      </c>
      <c r="B90" s="91">
        <v>26</v>
      </c>
      <c r="C90" s="116" t="s">
        <v>33</v>
      </c>
      <c r="D90" s="108">
        <v>6413</v>
      </c>
      <c r="E90" s="116" t="s">
        <v>241</v>
      </c>
      <c r="F90" s="91" t="s">
        <v>209</v>
      </c>
      <c r="G90" s="91" t="s">
        <v>201</v>
      </c>
      <c r="H90" s="91" t="s">
        <v>209</v>
      </c>
      <c r="I90" s="91" t="s">
        <v>201</v>
      </c>
      <c r="J90" s="91" t="s">
        <v>78</v>
      </c>
      <c r="K90" s="91" t="s">
        <v>201</v>
      </c>
      <c r="L90" s="91" t="s">
        <v>209</v>
      </c>
      <c r="M90" s="91" t="s">
        <v>201</v>
      </c>
      <c r="N90" s="91">
        <v>0</v>
      </c>
      <c r="O90" s="91">
        <v>0</v>
      </c>
      <c r="P90" s="91">
        <v>60</v>
      </c>
      <c r="Q90" s="91">
        <v>76</v>
      </c>
      <c r="R90" s="91" t="s">
        <v>209</v>
      </c>
      <c r="S90" s="91" t="s">
        <v>78</v>
      </c>
      <c r="T90" s="91" t="s">
        <v>209</v>
      </c>
      <c r="U90" s="91" t="s">
        <v>209</v>
      </c>
      <c r="V90" s="91" t="s">
        <v>496</v>
      </c>
      <c r="W90" s="129">
        <v>3</v>
      </c>
    </row>
    <row r="91" spans="1:23" hidden="1" x14ac:dyDescent="0.3">
      <c r="A91" s="115" t="s">
        <v>349</v>
      </c>
      <c r="B91" s="91">
        <v>25</v>
      </c>
      <c r="C91" s="116" t="s">
        <v>31</v>
      </c>
      <c r="D91" s="108">
        <v>9534</v>
      </c>
      <c r="E91" s="116" t="s">
        <v>241</v>
      </c>
      <c r="F91" s="91" t="s">
        <v>209</v>
      </c>
      <c r="G91" s="91" t="s">
        <v>209</v>
      </c>
      <c r="H91" s="91" t="s">
        <v>209</v>
      </c>
      <c r="I91" s="91" t="s">
        <v>209</v>
      </c>
      <c r="J91" s="91" t="s">
        <v>78</v>
      </c>
      <c r="K91" s="91" t="s">
        <v>209</v>
      </c>
      <c r="L91" s="91" t="s">
        <v>209</v>
      </c>
      <c r="M91" s="91" t="s">
        <v>209</v>
      </c>
      <c r="N91" s="91">
        <v>0</v>
      </c>
      <c r="O91" s="91">
        <v>0</v>
      </c>
      <c r="P91" s="91">
        <v>0</v>
      </c>
      <c r="Q91" s="91">
        <v>100</v>
      </c>
      <c r="R91" s="91" t="s">
        <v>201</v>
      </c>
      <c r="S91" s="91" t="s">
        <v>78</v>
      </c>
      <c r="T91" s="91" t="s">
        <v>209</v>
      </c>
      <c r="U91" s="91" t="s">
        <v>209</v>
      </c>
      <c r="V91" s="91" t="s">
        <v>489</v>
      </c>
      <c r="W91" s="129"/>
    </row>
    <row r="92" spans="1:23" hidden="1" x14ac:dyDescent="0.3">
      <c r="A92" s="113" t="s">
        <v>356</v>
      </c>
      <c r="B92" s="92">
        <v>25</v>
      </c>
      <c r="C92" s="114" t="s">
        <v>32</v>
      </c>
      <c r="D92" s="111">
        <v>3424</v>
      </c>
      <c r="E92" s="114" t="s">
        <v>241</v>
      </c>
      <c r="F92" s="92" t="s">
        <v>209</v>
      </c>
      <c r="G92" s="92" t="s">
        <v>201</v>
      </c>
      <c r="H92" s="92" t="s">
        <v>209</v>
      </c>
      <c r="I92" s="92" t="s">
        <v>209</v>
      </c>
      <c r="J92" s="92"/>
      <c r="K92" s="92" t="s">
        <v>201</v>
      </c>
      <c r="L92" s="92" t="s">
        <v>209</v>
      </c>
      <c r="M92" s="92" t="s">
        <v>209</v>
      </c>
      <c r="N92" s="92">
        <v>25</v>
      </c>
      <c r="O92" s="92">
        <v>0</v>
      </c>
      <c r="P92" s="92">
        <v>0</v>
      </c>
      <c r="Q92" s="92">
        <v>75</v>
      </c>
      <c r="R92" s="92" t="s">
        <v>209</v>
      </c>
      <c r="S92" s="92" t="s">
        <v>78</v>
      </c>
      <c r="T92" s="92" t="s">
        <v>209</v>
      </c>
      <c r="U92" s="92" t="s">
        <v>209</v>
      </c>
      <c r="V92" s="92" t="s">
        <v>490</v>
      </c>
      <c r="W92" s="132">
        <v>4</v>
      </c>
    </row>
    <row r="93" spans="1:23" hidden="1" x14ac:dyDescent="0.3">
      <c r="A93" s="115" t="s">
        <v>350</v>
      </c>
      <c r="B93" s="91">
        <v>25</v>
      </c>
      <c r="C93" s="116" t="s">
        <v>30</v>
      </c>
      <c r="D93" s="108">
        <v>991</v>
      </c>
      <c r="E93" s="116" t="s">
        <v>235</v>
      </c>
      <c r="F93" s="91" t="s">
        <v>209</v>
      </c>
      <c r="G93" s="91" t="s">
        <v>201</v>
      </c>
      <c r="H93" s="91" t="s">
        <v>201</v>
      </c>
      <c r="I93" s="91" t="s">
        <v>201</v>
      </c>
      <c r="J93" s="91" t="s">
        <v>78</v>
      </c>
      <c r="K93" s="91" t="s">
        <v>201</v>
      </c>
      <c r="L93" s="91" t="s">
        <v>201</v>
      </c>
      <c r="M93" s="91" t="s">
        <v>209</v>
      </c>
      <c r="N93" s="91">
        <v>30</v>
      </c>
      <c r="O93" s="91">
        <v>18</v>
      </c>
      <c r="P93" s="91">
        <v>25</v>
      </c>
      <c r="Q93" s="91">
        <v>90</v>
      </c>
      <c r="R93" s="91" t="s">
        <v>209</v>
      </c>
      <c r="S93" s="91" t="s">
        <v>78</v>
      </c>
      <c r="T93" s="91" t="s">
        <v>209</v>
      </c>
      <c r="U93" s="91" t="s">
        <v>209</v>
      </c>
      <c r="V93" s="91"/>
      <c r="W93" s="129">
        <v>5</v>
      </c>
    </row>
    <row r="94" spans="1:23" x14ac:dyDescent="0.3">
      <c r="A94" s="113" t="s">
        <v>253</v>
      </c>
      <c r="B94" s="92">
        <v>26</v>
      </c>
      <c r="C94" s="114" t="s">
        <v>34</v>
      </c>
      <c r="D94" s="111">
        <v>1828</v>
      </c>
      <c r="E94" s="114" t="s">
        <v>239</v>
      </c>
      <c r="F94" s="92" t="s">
        <v>209</v>
      </c>
      <c r="G94" s="92" t="s">
        <v>201</v>
      </c>
      <c r="H94" s="92" t="s">
        <v>209</v>
      </c>
      <c r="I94" s="92" t="s">
        <v>201</v>
      </c>
      <c r="J94" s="92" t="s">
        <v>78</v>
      </c>
      <c r="K94" s="92" t="s">
        <v>201</v>
      </c>
      <c r="L94" s="92" t="s">
        <v>209</v>
      </c>
      <c r="M94" s="92" t="s">
        <v>209</v>
      </c>
      <c r="N94" s="92">
        <v>2</v>
      </c>
      <c r="O94" s="92">
        <v>0</v>
      </c>
      <c r="P94" s="92">
        <v>10</v>
      </c>
      <c r="Q94" s="92">
        <v>40</v>
      </c>
      <c r="R94" s="92" t="s">
        <v>209</v>
      </c>
      <c r="S94" s="92" t="s">
        <v>78</v>
      </c>
      <c r="T94" s="92" t="s">
        <v>209</v>
      </c>
      <c r="U94" s="92" t="s">
        <v>209</v>
      </c>
      <c r="V94" s="92" t="s">
        <v>497</v>
      </c>
      <c r="W94" s="132">
        <v>2</v>
      </c>
    </row>
    <row r="95" spans="1:23" x14ac:dyDescent="0.3">
      <c r="A95" s="113" t="s">
        <v>500</v>
      </c>
      <c r="B95" s="92">
        <v>27</v>
      </c>
      <c r="C95" s="114" t="s">
        <v>33</v>
      </c>
      <c r="D95" s="111">
        <v>9704</v>
      </c>
      <c r="E95" s="114" t="s">
        <v>241</v>
      </c>
      <c r="F95" s="92" t="s">
        <v>201</v>
      </c>
      <c r="G95" s="92" t="s">
        <v>209</v>
      </c>
      <c r="H95" s="92" t="s">
        <v>209</v>
      </c>
      <c r="I95" s="92" t="s">
        <v>209</v>
      </c>
      <c r="J95" s="92" t="s">
        <v>78</v>
      </c>
      <c r="K95" s="92" t="s">
        <v>209</v>
      </c>
      <c r="L95" s="92" t="s">
        <v>209</v>
      </c>
      <c r="M95" s="92" t="s">
        <v>209</v>
      </c>
      <c r="N95" s="92">
        <v>0</v>
      </c>
      <c r="O95" s="92">
        <v>0</v>
      </c>
      <c r="P95" s="92">
        <v>0</v>
      </c>
      <c r="Q95" s="92">
        <v>6</v>
      </c>
      <c r="R95" s="92" t="s">
        <v>209</v>
      </c>
      <c r="S95" s="92" t="s">
        <v>78</v>
      </c>
      <c r="T95" s="92" t="s">
        <v>209</v>
      </c>
      <c r="U95" s="92" t="s">
        <v>209</v>
      </c>
      <c r="V95" s="92"/>
      <c r="W95" s="132">
        <v>5</v>
      </c>
    </row>
    <row r="96" spans="1:23" x14ac:dyDescent="0.3">
      <c r="A96" s="115" t="s">
        <v>234</v>
      </c>
      <c r="B96" s="91">
        <v>27</v>
      </c>
      <c r="C96" s="116" t="s">
        <v>35</v>
      </c>
      <c r="D96" s="108">
        <v>7425</v>
      </c>
      <c r="E96" s="116" t="s">
        <v>241</v>
      </c>
      <c r="F96" s="91" t="s">
        <v>209</v>
      </c>
      <c r="G96" s="91" t="s">
        <v>201</v>
      </c>
      <c r="H96" s="91" t="s">
        <v>201</v>
      </c>
      <c r="I96" s="91" t="s">
        <v>201</v>
      </c>
      <c r="J96" s="91" t="s">
        <v>78</v>
      </c>
      <c r="K96" s="91" t="s">
        <v>201</v>
      </c>
      <c r="L96" s="91" t="s">
        <v>209</v>
      </c>
      <c r="M96" s="91" t="s">
        <v>209</v>
      </c>
      <c r="N96" s="91">
        <v>3</v>
      </c>
      <c r="O96" s="91">
        <v>3</v>
      </c>
      <c r="P96" s="91">
        <v>50</v>
      </c>
      <c r="Q96" s="91">
        <v>54</v>
      </c>
      <c r="R96" s="91" t="s">
        <v>209</v>
      </c>
      <c r="S96" s="91" t="s">
        <v>78</v>
      </c>
      <c r="T96" s="91" t="s">
        <v>209</v>
      </c>
      <c r="U96" s="91" t="s">
        <v>209</v>
      </c>
      <c r="V96" s="91"/>
      <c r="W96" s="129">
        <v>5</v>
      </c>
    </row>
    <row r="97" spans="1:23" hidden="1" x14ac:dyDescent="0.3">
      <c r="A97" s="115" t="s">
        <v>349</v>
      </c>
      <c r="B97" s="91">
        <v>26</v>
      </c>
      <c r="C97" s="116" t="s">
        <v>31</v>
      </c>
      <c r="D97" s="108">
        <v>7426</v>
      </c>
      <c r="E97" s="116" t="s">
        <v>241</v>
      </c>
      <c r="F97" s="91" t="s">
        <v>209</v>
      </c>
      <c r="G97" s="91" t="s">
        <v>201</v>
      </c>
      <c r="H97" s="91" t="s">
        <v>201</v>
      </c>
      <c r="I97" s="91" t="s">
        <v>201</v>
      </c>
      <c r="J97" s="91" t="s">
        <v>15</v>
      </c>
      <c r="K97" s="91" t="s">
        <v>201</v>
      </c>
      <c r="L97" s="91" t="s">
        <v>209</v>
      </c>
      <c r="M97" s="91" t="s">
        <v>209</v>
      </c>
      <c r="N97" s="91">
        <v>0</v>
      </c>
      <c r="O97" s="91">
        <v>0</v>
      </c>
      <c r="P97" s="91">
        <v>80</v>
      </c>
      <c r="Q97" s="91">
        <v>87</v>
      </c>
      <c r="R97" s="91" t="s">
        <v>209</v>
      </c>
      <c r="S97" s="91">
        <v>1</v>
      </c>
      <c r="T97" s="91" t="s">
        <v>209</v>
      </c>
      <c r="U97" s="91" t="s">
        <v>209</v>
      </c>
      <c r="V97" s="91" t="s">
        <v>498</v>
      </c>
      <c r="W97" s="129">
        <v>5</v>
      </c>
    </row>
    <row r="98" spans="1:23" hidden="1" x14ac:dyDescent="0.3">
      <c r="A98" s="113" t="s">
        <v>356</v>
      </c>
      <c r="B98" s="92">
        <v>26</v>
      </c>
      <c r="C98" s="114" t="s">
        <v>32</v>
      </c>
      <c r="D98" s="111">
        <v>5933</v>
      </c>
      <c r="E98" s="114" t="s">
        <v>241</v>
      </c>
      <c r="F98" s="92" t="s">
        <v>209</v>
      </c>
      <c r="G98" s="92" t="s">
        <v>201</v>
      </c>
      <c r="H98" s="92" t="s">
        <v>201</v>
      </c>
      <c r="I98" s="92" t="s">
        <v>201</v>
      </c>
      <c r="J98" s="92" t="s">
        <v>78</v>
      </c>
      <c r="K98" s="92" t="s">
        <v>201</v>
      </c>
      <c r="L98" s="92" t="s">
        <v>209</v>
      </c>
      <c r="M98" s="92" t="s">
        <v>201</v>
      </c>
      <c r="N98" s="92">
        <v>0</v>
      </c>
      <c r="O98" s="92">
        <v>0</v>
      </c>
      <c r="P98" s="92">
        <v>0</v>
      </c>
      <c r="Q98" s="92">
        <v>100</v>
      </c>
      <c r="R98" s="92" t="s">
        <v>201</v>
      </c>
      <c r="S98" s="92" t="s">
        <v>78</v>
      </c>
      <c r="T98" s="92" t="s">
        <v>209</v>
      </c>
      <c r="U98" s="92" t="s">
        <v>209</v>
      </c>
      <c r="V98" s="92" t="s">
        <v>499</v>
      </c>
      <c r="W98" s="132">
        <v>4</v>
      </c>
    </row>
    <row r="99" spans="1:23" hidden="1" x14ac:dyDescent="0.3">
      <c r="A99" s="115" t="s">
        <v>350</v>
      </c>
      <c r="B99" s="91">
        <v>26</v>
      </c>
      <c r="C99" s="116" t="s">
        <v>30</v>
      </c>
      <c r="D99" s="108">
        <v>4146</v>
      </c>
      <c r="E99" s="116" t="s">
        <v>239</v>
      </c>
      <c r="F99" s="91" t="s">
        <v>209</v>
      </c>
      <c r="G99" s="91" t="s">
        <v>201</v>
      </c>
      <c r="H99" s="91" t="s">
        <v>209</v>
      </c>
      <c r="I99" s="91" t="s">
        <v>209</v>
      </c>
      <c r="J99" s="91" t="s">
        <v>78</v>
      </c>
      <c r="K99" s="91" t="s">
        <v>201</v>
      </c>
      <c r="L99" s="91" t="s">
        <v>209</v>
      </c>
      <c r="M99" s="91" t="s">
        <v>209</v>
      </c>
      <c r="N99" s="91">
        <v>2</v>
      </c>
      <c r="O99" s="91">
        <v>3</v>
      </c>
      <c r="P99" s="91">
        <v>0</v>
      </c>
      <c r="Q99" s="91">
        <v>50</v>
      </c>
      <c r="R99" s="91" t="s">
        <v>209</v>
      </c>
      <c r="S99" s="91" t="s">
        <v>77</v>
      </c>
      <c r="T99" s="91" t="s">
        <v>209</v>
      </c>
      <c r="U99" s="91" t="s">
        <v>209</v>
      </c>
      <c r="V99" s="91"/>
      <c r="W99" s="129">
        <v>2</v>
      </c>
    </row>
    <row r="100" spans="1:23" x14ac:dyDescent="0.3">
      <c r="A100" s="113" t="s">
        <v>253</v>
      </c>
      <c r="B100" s="92">
        <v>27</v>
      </c>
      <c r="C100" s="114" t="s">
        <v>34</v>
      </c>
      <c r="D100" s="111">
        <v>244</v>
      </c>
      <c r="E100" s="114" t="s">
        <v>239</v>
      </c>
      <c r="F100" s="92" t="s">
        <v>209</v>
      </c>
      <c r="G100" s="92" t="s">
        <v>201</v>
      </c>
      <c r="H100" s="92" t="s">
        <v>209</v>
      </c>
      <c r="I100" s="92" t="s">
        <v>201</v>
      </c>
      <c r="J100" s="92" t="s">
        <v>78</v>
      </c>
      <c r="K100" s="92" t="s">
        <v>201</v>
      </c>
      <c r="L100" s="92" t="s">
        <v>209</v>
      </c>
      <c r="M100" s="92" t="s">
        <v>209</v>
      </c>
      <c r="N100" s="92">
        <v>2</v>
      </c>
      <c r="O100" s="92">
        <v>0</v>
      </c>
      <c r="P100" s="92">
        <v>45</v>
      </c>
      <c r="Q100" s="92">
        <v>30</v>
      </c>
      <c r="R100" s="92" t="s">
        <v>209</v>
      </c>
      <c r="S100" s="92" t="s">
        <v>78</v>
      </c>
      <c r="T100" s="92" t="s">
        <v>209</v>
      </c>
      <c r="U100" s="92" t="s">
        <v>209</v>
      </c>
      <c r="V100" s="92" t="s">
        <v>501</v>
      </c>
      <c r="W100" s="132">
        <v>3</v>
      </c>
    </row>
    <row r="101" spans="1:23" x14ac:dyDescent="0.3">
      <c r="A101" s="115" t="s">
        <v>500</v>
      </c>
      <c r="B101" s="91">
        <v>28</v>
      </c>
      <c r="C101" s="116" t="s">
        <v>33</v>
      </c>
      <c r="D101" s="108">
        <v>11100</v>
      </c>
      <c r="E101" s="116" t="s">
        <v>235</v>
      </c>
      <c r="F101" s="91" t="s">
        <v>209</v>
      </c>
      <c r="G101" s="91" t="s">
        <v>201</v>
      </c>
      <c r="H101" s="91" t="s">
        <v>201</v>
      </c>
      <c r="I101" s="91" t="s">
        <v>201</v>
      </c>
      <c r="J101" s="91" t="s">
        <v>78</v>
      </c>
      <c r="K101" s="91" t="s">
        <v>209</v>
      </c>
      <c r="L101" s="91" t="s">
        <v>201</v>
      </c>
      <c r="M101" s="91" t="s">
        <v>209</v>
      </c>
      <c r="N101" s="91">
        <v>0</v>
      </c>
      <c r="O101" s="91">
        <v>0</v>
      </c>
      <c r="P101" s="91">
        <v>0</v>
      </c>
      <c r="Q101" s="91">
        <v>1</v>
      </c>
      <c r="R101" s="91" t="s">
        <v>209</v>
      </c>
      <c r="S101" s="91" t="s">
        <v>78</v>
      </c>
      <c r="T101" s="91" t="s">
        <v>209</v>
      </c>
      <c r="U101" s="91" t="s">
        <v>209</v>
      </c>
      <c r="V101" s="91" t="s">
        <v>504</v>
      </c>
      <c r="W101" s="129">
        <v>2</v>
      </c>
    </row>
    <row r="102" spans="1:23" x14ac:dyDescent="0.3">
      <c r="A102" s="113" t="s">
        <v>234</v>
      </c>
      <c r="B102" s="92">
        <v>28</v>
      </c>
      <c r="C102" s="114" t="s">
        <v>35</v>
      </c>
      <c r="D102" s="111">
        <v>996</v>
      </c>
      <c r="E102" s="114" t="s">
        <v>239</v>
      </c>
      <c r="F102" s="92" t="s">
        <v>209</v>
      </c>
      <c r="G102" s="92" t="s">
        <v>209</v>
      </c>
      <c r="H102" s="92" t="s">
        <v>201</v>
      </c>
      <c r="I102" s="92" t="s">
        <v>209</v>
      </c>
      <c r="J102" s="92" t="s">
        <v>78</v>
      </c>
      <c r="K102" s="92" t="s">
        <v>209</v>
      </c>
      <c r="L102" s="92" t="s">
        <v>209</v>
      </c>
      <c r="M102" s="92" t="s">
        <v>209</v>
      </c>
      <c r="N102" s="92">
        <v>0</v>
      </c>
      <c r="O102" s="92">
        <v>0</v>
      </c>
      <c r="P102" s="92">
        <v>0</v>
      </c>
      <c r="Q102" s="92">
        <v>100</v>
      </c>
      <c r="R102" s="92" t="s">
        <v>201</v>
      </c>
      <c r="S102" s="92" t="s">
        <v>78</v>
      </c>
      <c r="T102" s="92" t="s">
        <v>209</v>
      </c>
      <c r="U102" s="92" t="s">
        <v>209</v>
      </c>
      <c r="V102" s="92"/>
      <c r="W102" s="132">
        <v>1</v>
      </c>
    </row>
    <row r="103" spans="1:23" hidden="1" x14ac:dyDescent="0.3">
      <c r="A103" s="150" t="s">
        <v>349</v>
      </c>
      <c r="B103" s="91">
        <v>27</v>
      </c>
      <c r="C103" s="116" t="s">
        <v>31</v>
      </c>
      <c r="D103" s="108">
        <v>10114</v>
      </c>
      <c r="E103" s="116" t="s">
        <v>241</v>
      </c>
      <c r="F103" s="91" t="s">
        <v>209</v>
      </c>
      <c r="G103" s="91" t="s">
        <v>201</v>
      </c>
      <c r="H103" s="91" t="s">
        <v>201</v>
      </c>
      <c r="I103" s="91" t="s">
        <v>209</v>
      </c>
      <c r="J103" s="91" t="s">
        <v>77</v>
      </c>
      <c r="K103" s="91" t="s">
        <v>209</v>
      </c>
      <c r="L103" s="91" t="s">
        <v>209</v>
      </c>
      <c r="M103" s="91" t="s">
        <v>209</v>
      </c>
      <c r="N103" s="91">
        <v>0</v>
      </c>
      <c r="O103" s="91">
        <v>0</v>
      </c>
      <c r="P103" s="91">
        <v>0</v>
      </c>
      <c r="Q103" s="91">
        <v>100</v>
      </c>
      <c r="R103" s="91" t="s">
        <v>201</v>
      </c>
      <c r="S103" s="91" t="s">
        <v>78</v>
      </c>
      <c r="T103" s="91" t="s">
        <v>209</v>
      </c>
      <c r="U103" s="91" t="s">
        <v>209</v>
      </c>
      <c r="V103" s="91" t="s">
        <v>502</v>
      </c>
      <c r="W103" s="129">
        <v>4</v>
      </c>
    </row>
    <row r="104" spans="1:23" x14ac:dyDescent="0.3">
      <c r="A104" s="115" t="s">
        <v>253</v>
      </c>
      <c r="B104" s="91">
        <v>28</v>
      </c>
      <c r="C104" s="116" t="s">
        <v>34</v>
      </c>
      <c r="D104" s="108">
        <v>2662</v>
      </c>
      <c r="E104" s="116" t="s">
        <v>241</v>
      </c>
      <c r="F104" s="91" t="s">
        <v>209</v>
      </c>
      <c r="G104" s="91" t="s">
        <v>201</v>
      </c>
      <c r="H104" s="91" t="s">
        <v>209</v>
      </c>
      <c r="I104" s="91" t="s">
        <v>209</v>
      </c>
      <c r="J104" s="91" t="s">
        <v>78</v>
      </c>
      <c r="K104" s="91" t="s">
        <v>201</v>
      </c>
      <c r="L104" s="91" t="s">
        <v>209</v>
      </c>
      <c r="M104" s="91" t="s">
        <v>209</v>
      </c>
      <c r="N104" s="91">
        <v>4</v>
      </c>
      <c r="O104" s="91">
        <v>0</v>
      </c>
      <c r="P104" s="91">
        <v>0</v>
      </c>
      <c r="Q104" s="91">
        <v>50</v>
      </c>
      <c r="R104" s="91" t="s">
        <v>209</v>
      </c>
      <c r="S104" s="91" t="s">
        <v>78</v>
      </c>
      <c r="T104" s="91" t="s">
        <v>209</v>
      </c>
      <c r="U104" s="91" t="s">
        <v>209</v>
      </c>
      <c r="V104" s="91" t="s">
        <v>505</v>
      </c>
      <c r="W104" s="129">
        <v>3</v>
      </c>
    </row>
    <row r="105" spans="1:23" hidden="1" x14ac:dyDescent="0.3">
      <c r="A105" s="115" t="s">
        <v>351</v>
      </c>
      <c r="B105" s="91">
        <v>27</v>
      </c>
      <c r="C105" s="116" t="s">
        <v>30</v>
      </c>
      <c r="D105" s="108">
        <v>3245</v>
      </c>
      <c r="E105" s="116" t="s">
        <v>239</v>
      </c>
      <c r="F105" s="91" t="s">
        <v>209</v>
      </c>
      <c r="G105" s="91" t="s">
        <v>201</v>
      </c>
      <c r="H105" s="91" t="s">
        <v>201</v>
      </c>
      <c r="I105" s="91" t="s">
        <v>209</v>
      </c>
      <c r="J105" s="91" t="s">
        <v>78</v>
      </c>
      <c r="K105" s="91" t="s">
        <v>209</v>
      </c>
      <c r="L105" s="91" t="s">
        <v>209</v>
      </c>
      <c r="M105" s="91" t="s">
        <v>209</v>
      </c>
      <c r="N105" s="91">
        <v>32</v>
      </c>
      <c r="O105" s="91">
        <v>18</v>
      </c>
      <c r="P105" s="91">
        <v>0</v>
      </c>
      <c r="Q105" s="91">
        <v>78</v>
      </c>
      <c r="R105" s="91" t="s">
        <v>201</v>
      </c>
      <c r="S105" s="91" t="s">
        <v>80</v>
      </c>
      <c r="T105" s="91" t="s">
        <v>209</v>
      </c>
      <c r="U105" s="91" t="s">
        <v>209</v>
      </c>
      <c r="V105" s="91"/>
      <c r="W105" s="129">
        <v>3</v>
      </c>
    </row>
    <row r="106" spans="1:23" hidden="1" x14ac:dyDescent="0.3">
      <c r="A106" s="113" t="s">
        <v>356</v>
      </c>
      <c r="B106" s="92">
        <v>27</v>
      </c>
      <c r="C106" s="114" t="s">
        <v>32</v>
      </c>
      <c r="D106" s="111">
        <v>10980</v>
      </c>
      <c r="E106" s="114" t="s">
        <v>241</v>
      </c>
      <c r="F106" s="92" t="s">
        <v>209</v>
      </c>
      <c r="G106" s="92" t="s">
        <v>201</v>
      </c>
      <c r="H106" s="92" t="s">
        <v>201</v>
      </c>
      <c r="I106" s="92" t="s">
        <v>201</v>
      </c>
      <c r="J106" s="92" t="s">
        <v>78</v>
      </c>
      <c r="K106" s="92" t="s">
        <v>209</v>
      </c>
      <c r="L106" s="92" t="s">
        <v>209</v>
      </c>
      <c r="M106" s="92" t="s">
        <v>209</v>
      </c>
      <c r="N106" s="92">
        <v>3</v>
      </c>
      <c r="O106" s="92">
        <v>0</v>
      </c>
      <c r="P106" s="92">
        <v>0</v>
      </c>
      <c r="Q106" s="92">
        <v>8</v>
      </c>
      <c r="R106" s="92" t="s">
        <v>209</v>
      </c>
      <c r="S106" s="92" t="s">
        <v>78</v>
      </c>
      <c r="T106" s="92" t="s">
        <v>209</v>
      </c>
      <c r="U106" s="92" t="s">
        <v>209</v>
      </c>
      <c r="V106" s="92" t="s">
        <v>503</v>
      </c>
      <c r="W106" s="132">
        <v>1</v>
      </c>
    </row>
    <row r="107" spans="1:23" x14ac:dyDescent="0.3">
      <c r="A107" s="115" t="s">
        <v>256</v>
      </c>
      <c r="B107" s="91">
        <v>29</v>
      </c>
      <c r="C107" s="116" t="s">
        <v>32</v>
      </c>
      <c r="D107" s="108">
        <v>7333</v>
      </c>
      <c r="E107" s="116" t="s">
        <v>239</v>
      </c>
      <c r="F107" s="91" t="s">
        <v>209</v>
      </c>
      <c r="G107" s="91" t="s">
        <v>201</v>
      </c>
      <c r="H107" s="91" t="s">
        <v>201</v>
      </c>
      <c r="I107" s="91" t="s">
        <v>209</v>
      </c>
      <c r="J107" s="91" t="s">
        <v>78</v>
      </c>
      <c r="K107" s="91" t="s">
        <v>201</v>
      </c>
      <c r="L107" s="91" t="s">
        <v>209</v>
      </c>
      <c r="M107" s="91" t="s">
        <v>209</v>
      </c>
      <c r="N107" s="91">
        <v>0</v>
      </c>
      <c r="O107" s="91">
        <v>0</v>
      </c>
      <c r="P107" s="91">
        <v>30</v>
      </c>
      <c r="Q107" s="91">
        <v>31</v>
      </c>
      <c r="R107" s="91" t="s">
        <v>209</v>
      </c>
      <c r="S107" s="91" t="s">
        <v>78</v>
      </c>
      <c r="T107" s="91" t="s">
        <v>209</v>
      </c>
      <c r="U107" s="91" t="s">
        <v>209</v>
      </c>
      <c r="V107" s="91" t="s">
        <v>508</v>
      </c>
      <c r="W107" s="129">
        <v>5</v>
      </c>
    </row>
    <row r="108" spans="1:23" x14ac:dyDescent="0.3">
      <c r="A108" s="113" t="s">
        <v>234</v>
      </c>
      <c r="B108" s="92">
        <v>29</v>
      </c>
      <c r="C108" s="114" t="s">
        <v>35</v>
      </c>
      <c r="D108" s="111">
        <v>10506</v>
      </c>
      <c r="E108" s="114" t="s">
        <v>239</v>
      </c>
      <c r="F108" s="92" t="s">
        <v>209</v>
      </c>
      <c r="G108" s="92" t="s">
        <v>209</v>
      </c>
      <c r="H108" s="92" t="s">
        <v>209</v>
      </c>
      <c r="I108" s="92" t="s">
        <v>209</v>
      </c>
      <c r="J108" s="92" t="s">
        <v>78</v>
      </c>
      <c r="K108" s="92" t="s">
        <v>201</v>
      </c>
      <c r="L108" s="92" t="s">
        <v>209</v>
      </c>
      <c r="M108" s="92" t="s">
        <v>209</v>
      </c>
      <c r="N108" s="92">
        <v>0</v>
      </c>
      <c r="O108" s="92">
        <v>0</v>
      </c>
      <c r="P108" s="92">
        <v>0</v>
      </c>
      <c r="Q108" s="92">
        <v>100</v>
      </c>
      <c r="R108" s="92" t="s">
        <v>209</v>
      </c>
      <c r="S108" s="92" t="s">
        <v>78</v>
      </c>
      <c r="T108" s="92" t="s">
        <v>201</v>
      </c>
      <c r="U108" s="92" t="s">
        <v>209</v>
      </c>
      <c r="V108" s="92"/>
      <c r="W108" s="132">
        <v>5</v>
      </c>
    </row>
    <row r="109" spans="1:23" x14ac:dyDescent="0.3">
      <c r="A109" s="115" t="s">
        <v>500</v>
      </c>
      <c r="B109" s="91">
        <v>29</v>
      </c>
      <c r="C109" s="116" t="s">
        <v>30</v>
      </c>
      <c r="D109" s="108">
        <v>11176</v>
      </c>
      <c r="E109" s="116" t="s">
        <v>241</v>
      </c>
      <c r="F109" s="91" t="s">
        <v>209</v>
      </c>
      <c r="G109" s="91" t="s">
        <v>201</v>
      </c>
      <c r="H109" s="91" t="s">
        <v>209</v>
      </c>
      <c r="I109" s="91" t="s">
        <v>209</v>
      </c>
      <c r="J109" s="91" t="s">
        <v>78</v>
      </c>
      <c r="K109" s="91" t="s">
        <v>209</v>
      </c>
      <c r="L109" s="91" t="s">
        <v>209</v>
      </c>
      <c r="M109" s="91" t="s">
        <v>209</v>
      </c>
      <c r="N109" s="91">
        <v>0</v>
      </c>
      <c r="O109" s="91">
        <v>0</v>
      </c>
      <c r="P109" s="91">
        <v>0</v>
      </c>
      <c r="Q109" s="91">
        <v>12</v>
      </c>
      <c r="R109" s="91" t="s">
        <v>209</v>
      </c>
      <c r="S109" s="91" t="s">
        <v>78</v>
      </c>
      <c r="T109" s="91" t="s">
        <v>209</v>
      </c>
      <c r="U109" s="91" t="s">
        <v>209</v>
      </c>
      <c r="V109" s="91" t="s">
        <v>510</v>
      </c>
      <c r="W109" s="129">
        <v>1</v>
      </c>
    </row>
    <row r="110" spans="1:23" hidden="1" x14ac:dyDescent="0.3">
      <c r="A110" s="113" t="s">
        <v>349</v>
      </c>
      <c r="B110" s="92">
        <v>28</v>
      </c>
      <c r="C110" s="114" t="s">
        <v>31</v>
      </c>
      <c r="D110" s="111">
        <v>60</v>
      </c>
      <c r="E110" s="114" t="s">
        <v>241</v>
      </c>
      <c r="F110" s="92" t="s">
        <v>209</v>
      </c>
      <c r="G110" s="92" t="s">
        <v>201</v>
      </c>
      <c r="H110" s="92" t="s">
        <v>209</v>
      </c>
      <c r="I110" s="92" t="s">
        <v>209</v>
      </c>
      <c r="J110" s="92" t="s">
        <v>78</v>
      </c>
      <c r="K110" s="92" t="s">
        <v>201</v>
      </c>
      <c r="L110" s="92" t="s">
        <v>209</v>
      </c>
      <c r="M110" s="92" t="s">
        <v>209</v>
      </c>
      <c r="N110" s="92">
        <v>1</v>
      </c>
      <c r="O110" s="92">
        <v>3</v>
      </c>
      <c r="P110" s="92">
        <v>15</v>
      </c>
      <c r="Q110" s="92">
        <v>63</v>
      </c>
      <c r="R110" s="92" t="s">
        <v>209</v>
      </c>
      <c r="S110" s="92" t="s">
        <v>78</v>
      </c>
      <c r="T110" s="92" t="s">
        <v>209</v>
      </c>
      <c r="U110" s="92" t="s">
        <v>209</v>
      </c>
      <c r="V110" s="92" t="s">
        <v>506</v>
      </c>
      <c r="W110" s="132">
        <v>3</v>
      </c>
    </row>
    <row r="111" spans="1:23" hidden="1" x14ac:dyDescent="0.3">
      <c r="A111" s="115" t="s">
        <v>350</v>
      </c>
      <c r="B111" s="91">
        <v>28</v>
      </c>
      <c r="C111" s="116" t="s">
        <v>30</v>
      </c>
      <c r="D111" s="108">
        <v>4731</v>
      </c>
      <c r="E111" s="116" t="s">
        <v>239</v>
      </c>
      <c r="F111" s="91" t="s">
        <v>209</v>
      </c>
      <c r="G111" s="91" t="s">
        <v>201</v>
      </c>
      <c r="H111" s="91" t="s">
        <v>201</v>
      </c>
      <c r="I111" s="91" t="s">
        <v>201</v>
      </c>
      <c r="J111" s="91" t="s">
        <v>78</v>
      </c>
      <c r="K111" s="91" t="s">
        <v>201</v>
      </c>
      <c r="L111" s="91" t="s">
        <v>209</v>
      </c>
      <c r="M111" s="91" t="s">
        <v>209</v>
      </c>
      <c r="N111" s="91">
        <v>7</v>
      </c>
      <c r="O111" s="91">
        <v>12</v>
      </c>
      <c r="P111" s="91">
        <v>5</v>
      </c>
      <c r="Q111" s="91">
        <v>70</v>
      </c>
      <c r="R111" s="91" t="s">
        <v>209</v>
      </c>
      <c r="S111" s="91" t="s">
        <v>78</v>
      </c>
      <c r="T111" s="91" t="s">
        <v>209</v>
      </c>
      <c r="U111" s="91" t="s">
        <v>209</v>
      </c>
      <c r="V111" s="91"/>
      <c r="W111" s="129">
        <v>3</v>
      </c>
    </row>
    <row r="112" spans="1:23" hidden="1" x14ac:dyDescent="0.3">
      <c r="A112" s="113" t="s">
        <v>356</v>
      </c>
      <c r="B112" s="92">
        <v>28</v>
      </c>
      <c r="C112" s="114" t="s">
        <v>32</v>
      </c>
      <c r="D112" s="111">
        <v>9059</v>
      </c>
      <c r="E112" s="114" t="s">
        <v>241</v>
      </c>
      <c r="F112" s="92" t="s">
        <v>209</v>
      </c>
      <c r="G112" s="92" t="s">
        <v>201</v>
      </c>
      <c r="H112" s="92" t="s">
        <v>201</v>
      </c>
      <c r="I112" s="92" t="s">
        <v>201</v>
      </c>
      <c r="J112" s="92" t="s">
        <v>78</v>
      </c>
      <c r="K112" s="92" t="s">
        <v>201</v>
      </c>
      <c r="L112" s="92" t="s">
        <v>209</v>
      </c>
      <c r="M112" s="92" t="s">
        <v>209</v>
      </c>
      <c r="N112" s="92">
        <v>0</v>
      </c>
      <c r="O112" s="92">
        <v>0</v>
      </c>
      <c r="P112" s="92">
        <v>0</v>
      </c>
      <c r="Q112" s="92">
        <v>100</v>
      </c>
      <c r="R112" s="92" t="s">
        <v>209</v>
      </c>
      <c r="S112" s="92" t="s">
        <v>78</v>
      </c>
      <c r="T112" s="92" t="s">
        <v>209</v>
      </c>
      <c r="U112" s="92" t="s">
        <v>209</v>
      </c>
      <c r="V112" s="92" t="s">
        <v>507</v>
      </c>
      <c r="W112" s="132">
        <v>2</v>
      </c>
    </row>
    <row r="113" spans="1:23" x14ac:dyDescent="0.3">
      <c r="A113" s="113" t="s">
        <v>500</v>
      </c>
      <c r="B113" s="92">
        <v>30</v>
      </c>
      <c r="C113" s="114" t="s">
        <v>32</v>
      </c>
      <c r="D113" s="111">
        <v>2486</v>
      </c>
      <c r="E113" s="114" t="s">
        <v>239</v>
      </c>
      <c r="F113" s="92" t="s">
        <v>209</v>
      </c>
      <c r="G113" s="92" t="s">
        <v>201</v>
      </c>
      <c r="H113" s="92" t="s">
        <v>201</v>
      </c>
      <c r="I113" s="92" t="s">
        <v>201</v>
      </c>
      <c r="J113" s="92" t="s">
        <v>78</v>
      </c>
      <c r="K113" s="92" t="s">
        <v>201</v>
      </c>
      <c r="L113" s="92" t="s">
        <v>209</v>
      </c>
      <c r="M113" s="92" t="s">
        <v>209</v>
      </c>
      <c r="N113" s="92">
        <v>0</v>
      </c>
      <c r="O113" s="92">
        <v>15</v>
      </c>
      <c r="P113" s="92">
        <v>45</v>
      </c>
      <c r="Q113" s="92">
        <v>60</v>
      </c>
      <c r="R113" s="92" t="s">
        <v>209</v>
      </c>
      <c r="S113" s="92" t="s">
        <v>78</v>
      </c>
      <c r="T113" s="92" t="s">
        <v>209</v>
      </c>
      <c r="U113" s="92" t="s">
        <v>209</v>
      </c>
      <c r="V113" s="92"/>
      <c r="W113" s="132">
        <v>4</v>
      </c>
    </row>
    <row r="114" spans="1:23" x14ac:dyDescent="0.3">
      <c r="A114" s="115" t="s">
        <v>192</v>
      </c>
      <c r="B114" s="91">
        <v>30</v>
      </c>
      <c r="C114" s="116" t="s">
        <v>31</v>
      </c>
      <c r="D114" s="108">
        <v>9501</v>
      </c>
      <c r="E114" s="116" t="s">
        <v>235</v>
      </c>
      <c r="F114" s="91" t="s">
        <v>209</v>
      </c>
      <c r="G114" s="91" t="s">
        <v>201</v>
      </c>
      <c r="H114" s="91" t="s">
        <v>201</v>
      </c>
      <c r="I114" s="91" t="s">
        <v>201</v>
      </c>
      <c r="J114" s="91" t="s">
        <v>78</v>
      </c>
      <c r="K114" s="91" t="s">
        <v>201</v>
      </c>
      <c r="L114" s="91" t="s">
        <v>209</v>
      </c>
      <c r="M114" s="91" t="s">
        <v>201</v>
      </c>
      <c r="N114" s="91">
        <v>0</v>
      </c>
      <c r="O114" s="91">
        <v>0</v>
      </c>
      <c r="P114" s="91">
        <v>30</v>
      </c>
      <c r="Q114" s="91">
        <v>100</v>
      </c>
      <c r="R114" s="91" t="s">
        <v>201</v>
      </c>
      <c r="S114" s="91" t="s">
        <v>78</v>
      </c>
      <c r="T114" s="91" t="s">
        <v>209</v>
      </c>
      <c r="U114" s="91" t="s">
        <v>209</v>
      </c>
      <c r="V114" s="91" t="s">
        <v>511</v>
      </c>
      <c r="W114" s="129">
        <v>5</v>
      </c>
    </row>
    <row r="115" spans="1:23" hidden="1" x14ac:dyDescent="0.3">
      <c r="A115" s="115" t="s">
        <v>349</v>
      </c>
      <c r="B115" s="91">
        <v>29</v>
      </c>
      <c r="C115" s="116" t="s">
        <v>31</v>
      </c>
      <c r="D115" s="108">
        <v>11479</v>
      </c>
      <c r="E115" s="116" t="s">
        <v>241</v>
      </c>
      <c r="F115" s="91" t="s">
        <v>209</v>
      </c>
      <c r="G115" s="91" t="s">
        <v>201</v>
      </c>
      <c r="H115" s="91" t="s">
        <v>201</v>
      </c>
      <c r="I115" s="91" t="s">
        <v>209</v>
      </c>
      <c r="J115" s="91" t="s">
        <v>78</v>
      </c>
      <c r="K115" s="91" t="s">
        <v>201</v>
      </c>
      <c r="L115" s="91" t="s">
        <v>209</v>
      </c>
      <c r="M115" s="91" t="s">
        <v>209</v>
      </c>
      <c r="N115" s="91">
        <v>0</v>
      </c>
      <c r="O115" s="91">
        <v>0</v>
      </c>
      <c r="P115" s="91">
        <v>30</v>
      </c>
      <c r="Q115" s="91">
        <v>95</v>
      </c>
      <c r="R115" s="91" t="s">
        <v>209</v>
      </c>
      <c r="S115" s="91" t="s">
        <v>78</v>
      </c>
      <c r="T115" s="91" t="s">
        <v>209</v>
      </c>
      <c r="U115" s="91" t="s">
        <v>209</v>
      </c>
      <c r="V115" s="91" t="s">
        <v>509</v>
      </c>
      <c r="W115" s="129">
        <v>5</v>
      </c>
    </row>
    <row r="116" spans="1:23" x14ac:dyDescent="0.3">
      <c r="A116" s="113" t="s">
        <v>256</v>
      </c>
      <c r="B116" s="92">
        <v>30</v>
      </c>
      <c r="C116" s="114" t="s">
        <v>30</v>
      </c>
      <c r="D116" s="111">
        <v>6833</v>
      </c>
      <c r="E116" s="114" t="s">
        <v>241</v>
      </c>
      <c r="F116" s="92" t="s">
        <v>209</v>
      </c>
      <c r="G116" s="92" t="s">
        <v>209</v>
      </c>
      <c r="H116" s="92" t="s">
        <v>201</v>
      </c>
      <c r="I116" s="92" t="s">
        <v>201</v>
      </c>
      <c r="J116" s="92" t="s">
        <v>78</v>
      </c>
      <c r="K116" s="92" t="s">
        <v>201</v>
      </c>
      <c r="L116" s="92" t="s">
        <v>209</v>
      </c>
      <c r="M116" s="92" t="s">
        <v>209</v>
      </c>
      <c r="N116" s="92">
        <v>4</v>
      </c>
      <c r="O116" s="92">
        <v>0</v>
      </c>
      <c r="P116" s="92">
        <v>20</v>
      </c>
      <c r="Q116" s="92">
        <v>64</v>
      </c>
      <c r="R116" s="92" t="s">
        <v>209</v>
      </c>
      <c r="S116" s="92" t="s">
        <v>78</v>
      </c>
      <c r="T116" s="92" t="s">
        <v>209</v>
      </c>
      <c r="U116" s="92" t="s">
        <v>209</v>
      </c>
      <c r="V116" s="92"/>
      <c r="W116" s="132">
        <v>4</v>
      </c>
    </row>
    <row r="117" spans="1:23" x14ac:dyDescent="0.3">
      <c r="A117" s="115" t="s">
        <v>500</v>
      </c>
      <c r="B117" s="91">
        <v>31</v>
      </c>
      <c r="C117" s="116" t="s">
        <v>32</v>
      </c>
      <c r="D117" s="108">
        <v>288</v>
      </c>
      <c r="E117" s="116" t="s">
        <v>235</v>
      </c>
      <c r="F117" s="91" t="s">
        <v>209</v>
      </c>
      <c r="G117" s="91" t="s">
        <v>201</v>
      </c>
      <c r="H117" s="91" t="s">
        <v>209</v>
      </c>
      <c r="I117" s="91" t="s">
        <v>201</v>
      </c>
      <c r="J117" s="91" t="s">
        <v>78</v>
      </c>
      <c r="K117" s="91" t="s">
        <v>201</v>
      </c>
      <c r="L117" s="91" t="s">
        <v>209</v>
      </c>
      <c r="M117" s="91" t="s">
        <v>209</v>
      </c>
      <c r="N117" s="91">
        <v>0</v>
      </c>
      <c r="O117" s="91">
        <v>0</v>
      </c>
      <c r="P117" s="91">
        <v>0</v>
      </c>
      <c r="Q117" s="91">
        <v>73</v>
      </c>
      <c r="R117" s="91" t="s">
        <v>209</v>
      </c>
      <c r="S117" s="91" t="s">
        <v>78</v>
      </c>
      <c r="T117" s="91" t="s">
        <v>209</v>
      </c>
      <c r="U117" s="91" t="s">
        <v>209</v>
      </c>
      <c r="V117" s="91"/>
      <c r="W117" s="129">
        <v>3</v>
      </c>
    </row>
    <row r="118" spans="1:23" x14ac:dyDescent="0.3">
      <c r="A118" s="113" t="s">
        <v>218</v>
      </c>
      <c r="B118" s="92">
        <v>32</v>
      </c>
      <c r="C118" s="114" t="s">
        <v>34</v>
      </c>
      <c r="D118" s="111">
        <v>6479</v>
      </c>
      <c r="E118" s="114" t="s">
        <v>241</v>
      </c>
      <c r="F118" s="92" t="s">
        <v>201</v>
      </c>
      <c r="G118" s="92" t="s">
        <v>209</v>
      </c>
      <c r="H118" s="92" t="s">
        <v>209</v>
      </c>
      <c r="I118" s="92" t="s">
        <v>209</v>
      </c>
      <c r="J118" s="92" t="s">
        <v>78</v>
      </c>
      <c r="K118" s="92" t="s">
        <v>209</v>
      </c>
      <c r="L118" s="92" t="s">
        <v>209</v>
      </c>
      <c r="M118" s="92" t="s">
        <v>209</v>
      </c>
      <c r="N118" s="92">
        <v>0</v>
      </c>
      <c r="O118" s="92">
        <v>0</v>
      </c>
      <c r="P118" s="92">
        <v>0</v>
      </c>
      <c r="Q118" s="92">
        <v>100</v>
      </c>
      <c r="R118" s="92" t="s">
        <v>209</v>
      </c>
      <c r="S118" s="92" t="s">
        <v>80</v>
      </c>
      <c r="T118" s="92" t="s">
        <v>209</v>
      </c>
      <c r="U118" s="92" t="s">
        <v>209</v>
      </c>
      <c r="V118" s="92"/>
      <c r="W118" s="132">
        <v>5</v>
      </c>
    </row>
    <row r="119" spans="1:23" x14ac:dyDescent="0.3">
      <c r="A119" s="115" t="s">
        <v>283</v>
      </c>
      <c r="B119" s="91">
        <v>32</v>
      </c>
      <c r="C119" s="116" t="s">
        <v>35</v>
      </c>
      <c r="D119" s="108">
        <v>7755</v>
      </c>
      <c r="E119" s="116" t="s">
        <v>235</v>
      </c>
      <c r="F119" s="91" t="s">
        <v>209</v>
      </c>
      <c r="G119" s="91" t="s">
        <v>201</v>
      </c>
      <c r="H119" s="91" t="s">
        <v>209</v>
      </c>
      <c r="I119" s="91" t="s">
        <v>209</v>
      </c>
      <c r="J119" s="91" t="s">
        <v>78</v>
      </c>
      <c r="K119" s="91" t="s">
        <v>209</v>
      </c>
      <c r="L119" s="91" t="s">
        <v>209</v>
      </c>
      <c r="M119" s="91" t="s">
        <v>209</v>
      </c>
      <c r="N119" s="91">
        <v>5</v>
      </c>
      <c r="O119" s="91">
        <v>3</v>
      </c>
      <c r="P119" s="91">
        <v>20</v>
      </c>
      <c r="Q119" s="91">
        <v>89</v>
      </c>
      <c r="R119" s="91" t="s">
        <v>209</v>
      </c>
      <c r="S119" s="91" t="s">
        <v>78</v>
      </c>
      <c r="T119" s="91" t="s">
        <v>209</v>
      </c>
      <c r="U119" s="91" t="s">
        <v>209</v>
      </c>
      <c r="V119" s="91" t="s">
        <v>515</v>
      </c>
      <c r="W119" s="129">
        <v>3</v>
      </c>
    </row>
    <row r="120" spans="1:23" x14ac:dyDescent="0.3">
      <c r="A120" s="113" t="s">
        <v>378</v>
      </c>
      <c r="B120" s="92">
        <v>32</v>
      </c>
      <c r="C120" s="114" t="s">
        <v>33</v>
      </c>
      <c r="D120" s="111">
        <v>6413</v>
      </c>
      <c r="E120" s="114" t="s">
        <v>241</v>
      </c>
      <c r="F120" s="92" t="s">
        <v>209</v>
      </c>
      <c r="G120" s="92" t="s">
        <v>201</v>
      </c>
      <c r="H120" s="92" t="s">
        <v>209</v>
      </c>
      <c r="I120" s="92" t="s">
        <v>209</v>
      </c>
      <c r="J120" s="92" t="s">
        <v>78</v>
      </c>
      <c r="K120" s="92" t="s">
        <v>201</v>
      </c>
      <c r="L120" s="92" t="s">
        <v>209</v>
      </c>
      <c r="M120" s="92" t="s">
        <v>209</v>
      </c>
      <c r="N120" s="92">
        <v>7</v>
      </c>
      <c r="O120" s="92">
        <v>0</v>
      </c>
      <c r="P120" s="92">
        <v>65</v>
      </c>
      <c r="Q120" s="92">
        <v>91</v>
      </c>
      <c r="R120" s="92" t="s">
        <v>209</v>
      </c>
      <c r="S120" s="92" t="s">
        <v>78</v>
      </c>
      <c r="T120" s="92" t="s">
        <v>209</v>
      </c>
      <c r="U120" s="92" t="s">
        <v>209</v>
      </c>
      <c r="V120" s="92" t="s">
        <v>514</v>
      </c>
      <c r="W120" s="132">
        <v>4</v>
      </c>
    </row>
    <row r="121" spans="1:23" x14ac:dyDescent="0.3">
      <c r="A121" s="115" t="s">
        <v>520</v>
      </c>
      <c r="B121" s="91">
        <v>33</v>
      </c>
      <c r="C121" s="116" t="s">
        <v>34</v>
      </c>
      <c r="D121" s="108">
        <v>3019</v>
      </c>
      <c r="E121" s="116" t="s">
        <v>241</v>
      </c>
      <c r="F121" s="91" t="s">
        <v>209</v>
      </c>
      <c r="G121" s="91" t="s">
        <v>201</v>
      </c>
      <c r="H121" s="91" t="s">
        <v>209</v>
      </c>
      <c r="I121" s="91" t="s">
        <v>201</v>
      </c>
      <c r="J121" s="91" t="s">
        <v>78</v>
      </c>
      <c r="K121" s="91" t="s">
        <v>201</v>
      </c>
      <c r="L121" s="91" t="s">
        <v>209</v>
      </c>
      <c r="M121" s="91" t="s">
        <v>209</v>
      </c>
      <c r="N121" s="91">
        <v>3</v>
      </c>
      <c r="O121" s="91">
        <v>42</v>
      </c>
      <c r="P121" s="91">
        <v>0</v>
      </c>
      <c r="Q121" s="91">
        <v>87</v>
      </c>
      <c r="R121" s="91" t="s">
        <v>209</v>
      </c>
      <c r="S121" s="91" t="s">
        <v>78</v>
      </c>
      <c r="T121" s="91" t="s">
        <v>209</v>
      </c>
      <c r="U121" s="91" t="s">
        <v>209</v>
      </c>
      <c r="V121" s="91" t="s">
        <v>521</v>
      </c>
      <c r="W121" s="129">
        <v>4</v>
      </c>
    </row>
    <row r="122" spans="1:23" x14ac:dyDescent="0.3">
      <c r="A122" s="113" t="s">
        <v>522</v>
      </c>
      <c r="B122" s="92">
        <v>33</v>
      </c>
      <c r="C122" s="114" t="s">
        <v>35</v>
      </c>
      <c r="D122" s="111">
        <v>10980</v>
      </c>
      <c r="E122" s="114" t="s">
        <v>235</v>
      </c>
      <c r="F122" s="92" t="s">
        <v>209</v>
      </c>
      <c r="G122" s="92" t="s">
        <v>201</v>
      </c>
      <c r="H122" s="92" t="s">
        <v>201</v>
      </c>
      <c r="I122" s="92" t="s">
        <v>201</v>
      </c>
      <c r="J122" s="92" t="s">
        <v>78</v>
      </c>
      <c r="K122" s="92" t="s">
        <v>201</v>
      </c>
      <c r="L122" s="92" t="s">
        <v>209</v>
      </c>
      <c r="M122" s="92" t="s">
        <v>209</v>
      </c>
      <c r="N122" s="92">
        <v>1</v>
      </c>
      <c r="O122" s="92">
        <v>3</v>
      </c>
      <c r="P122" s="92">
        <v>65</v>
      </c>
      <c r="Q122" s="92">
        <v>39</v>
      </c>
      <c r="R122" s="92" t="s">
        <v>209</v>
      </c>
      <c r="S122" s="92" t="s">
        <v>78</v>
      </c>
      <c r="T122" s="92" t="s">
        <v>209</v>
      </c>
      <c r="U122" s="92" t="s">
        <v>209</v>
      </c>
      <c r="V122" s="92" t="s">
        <v>523</v>
      </c>
      <c r="W122" s="132">
        <v>3</v>
      </c>
    </row>
    <row r="123" spans="1:23" x14ac:dyDescent="0.3">
      <c r="A123" s="113" t="s">
        <v>238</v>
      </c>
      <c r="B123" s="92">
        <v>33</v>
      </c>
      <c r="C123" s="114" t="s">
        <v>33</v>
      </c>
      <c r="D123" s="111">
        <v>244</v>
      </c>
      <c r="E123" s="114" t="s">
        <v>239</v>
      </c>
      <c r="F123" s="92" t="s">
        <v>209</v>
      </c>
      <c r="G123" s="92" t="s">
        <v>201</v>
      </c>
      <c r="H123" s="92" t="s">
        <v>209</v>
      </c>
      <c r="I123" s="92" t="s">
        <v>209</v>
      </c>
      <c r="J123" s="92" t="s">
        <v>78</v>
      </c>
      <c r="K123" s="92" t="s">
        <v>209</v>
      </c>
      <c r="L123" s="92" t="s">
        <v>209</v>
      </c>
      <c r="M123" s="92" t="s">
        <v>209</v>
      </c>
      <c r="N123" s="92">
        <v>0</v>
      </c>
      <c r="O123" s="92">
        <v>0</v>
      </c>
      <c r="P123" s="92">
        <v>0</v>
      </c>
      <c r="Q123" s="92">
        <v>1</v>
      </c>
      <c r="R123" s="92" t="s">
        <v>209</v>
      </c>
      <c r="S123" s="92" t="s">
        <v>80</v>
      </c>
      <c r="T123" s="92" t="s">
        <v>201</v>
      </c>
      <c r="U123" s="92" t="s">
        <v>209</v>
      </c>
      <c r="V123" s="92"/>
      <c r="W123" s="132">
        <v>1</v>
      </c>
    </row>
    <row r="124" spans="1:23" x14ac:dyDescent="0.3">
      <c r="A124" s="115" t="s">
        <v>283</v>
      </c>
      <c r="B124" s="91">
        <v>34</v>
      </c>
      <c r="C124" s="116" t="s">
        <v>35</v>
      </c>
      <c r="D124" s="108">
        <v>3245</v>
      </c>
      <c r="E124" s="116" t="s">
        <v>239</v>
      </c>
      <c r="F124" s="91" t="s">
        <v>209</v>
      </c>
      <c r="G124" s="91" t="s">
        <v>201</v>
      </c>
      <c r="H124" s="91" t="s">
        <v>209</v>
      </c>
      <c r="I124" s="91" t="s">
        <v>201</v>
      </c>
      <c r="J124" s="91" t="s">
        <v>78</v>
      </c>
      <c r="K124" s="91" t="s">
        <v>201</v>
      </c>
      <c r="L124" s="91" t="s">
        <v>209</v>
      </c>
      <c r="M124" s="91" t="s">
        <v>209</v>
      </c>
      <c r="N124" s="91">
        <v>5</v>
      </c>
      <c r="O124" s="91">
        <v>3</v>
      </c>
      <c r="P124" s="91">
        <v>130</v>
      </c>
      <c r="Q124" s="91">
        <v>70</v>
      </c>
      <c r="R124" s="91" t="s">
        <v>209</v>
      </c>
      <c r="S124" s="91" t="s">
        <v>78</v>
      </c>
      <c r="T124" s="91" t="s">
        <v>209</v>
      </c>
      <c r="U124" s="91" t="s">
        <v>209</v>
      </c>
      <c r="V124" s="91" t="s">
        <v>526</v>
      </c>
      <c r="W124" s="129">
        <v>4</v>
      </c>
    </row>
    <row r="125" spans="1:23" hidden="1" x14ac:dyDescent="0.3">
      <c r="A125" s="115" t="s">
        <v>349</v>
      </c>
      <c r="B125" s="91">
        <v>31</v>
      </c>
      <c r="C125" s="116" t="s">
        <v>31</v>
      </c>
      <c r="D125" s="108">
        <v>2479</v>
      </c>
      <c r="E125" s="116" t="s">
        <v>241</v>
      </c>
      <c r="F125" s="91" t="s">
        <v>209</v>
      </c>
      <c r="G125" s="91" t="s">
        <v>201</v>
      </c>
      <c r="H125" s="91" t="s">
        <v>209</v>
      </c>
      <c r="I125" s="91" t="s">
        <v>209</v>
      </c>
      <c r="J125" s="91" t="s">
        <v>78</v>
      </c>
      <c r="K125" s="91" t="s">
        <v>201</v>
      </c>
      <c r="L125" s="91" t="s">
        <v>209</v>
      </c>
      <c r="M125" s="91" t="s">
        <v>209</v>
      </c>
      <c r="N125" s="91">
        <v>0</v>
      </c>
      <c r="O125" s="91">
        <v>0</v>
      </c>
      <c r="P125" s="91">
        <v>30</v>
      </c>
      <c r="Q125" s="91">
        <v>83</v>
      </c>
      <c r="R125" s="91" t="s">
        <v>209</v>
      </c>
      <c r="S125" s="91" t="s">
        <v>78</v>
      </c>
      <c r="T125" s="91" t="s">
        <v>209</v>
      </c>
      <c r="U125" s="91" t="s">
        <v>209</v>
      </c>
      <c r="V125" s="91" t="s">
        <v>512</v>
      </c>
      <c r="W125" s="129">
        <v>2</v>
      </c>
    </row>
    <row r="126" spans="1:23" x14ac:dyDescent="0.3">
      <c r="A126" s="113" t="s">
        <v>238</v>
      </c>
      <c r="B126" s="92">
        <v>34</v>
      </c>
      <c r="C126" s="114" t="s">
        <v>33</v>
      </c>
      <c r="D126" s="111">
        <v>5933</v>
      </c>
      <c r="E126" s="114" t="s">
        <v>241</v>
      </c>
      <c r="F126" s="92" t="s">
        <v>209</v>
      </c>
      <c r="G126" s="92" t="s">
        <v>201</v>
      </c>
      <c r="H126" s="92" t="s">
        <v>201</v>
      </c>
      <c r="I126" s="92" t="s">
        <v>201</v>
      </c>
      <c r="J126" s="92" t="s">
        <v>78</v>
      </c>
      <c r="K126" s="92" t="s">
        <v>201</v>
      </c>
      <c r="L126" s="92" t="s">
        <v>209</v>
      </c>
      <c r="M126" s="92" t="s">
        <v>209</v>
      </c>
      <c r="N126" s="92">
        <v>0</v>
      </c>
      <c r="O126" s="92">
        <v>0</v>
      </c>
      <c r="P126" s="92">
        <v>0</v>
      </c>
      <c r="Q126" s="92">
        <v>1</v>
      </c>
      <c r="R126" s="92" t="s">
        <v>201</v>
      </c>
      <c r="S126" s="92" t="s">
        <v>78</v>
      </c>
      <c r="T126" s="92" t="s">
        <v>209</v>
      </c>
      <c r="U126" s="92" t="s">
        <v>209</v>
      </c>
      <c r="V126" s="92" t="s">
        <v>530</v>
      </c>
      <c r="W126" s="132">
        <v>3</v>
      </c>
    </row>
    <row r="127" spans="1:23" x14ac:dyDescent="0.3">
      <c r="A127" s="113" t="s">
        <v>218</v>
      </c>
      <c r="B127" s="92">
        <v>34</v>
      </c>
      <c r="C127" s="114" t="s">
        <v>34</v>
      </c>
      <c r="D127" s="111">
        <v>11100</v>
      </c>
      <c r="E127" s="114" t="s">
        <v>235</v>
      </c>
      <c r="F127" s="92" t="s">
        <v>209</v>
      </c>
      <c r="G127" s="92" t="s">
        <v>201</v>
      </c>
      <c r="H127" s="92" t="s">
        <v>201</v>
      </c>
      <c r="I127" s="92" t="s">
        <v>201</v>
      </c>
      <c r="J127" s="92" t="s">
        <v>78</v>
      </c>
      <c r="K127" s="92" t="s">
        <v>201</v>
      </c>
      <c r="L127" s="92" t="s">
        <v>201</v>
      </c>
      <c r="M127" s="92" t="s">
        <v>209</v>
      </c>
      <c r="N127" s="92">
        <v>0</v>
      </c>
      <c r="O127" s="92">
        <v>0</v>
      </c>
      <c r="P127" s="92">
        <v>20</v>
      </c>
      <c r="Q127" s="92">
        <v>12</v>
      </c>
      <c r="R127" s="92" t="s">
        <v>209</v>
      </c>
      <c r="S127" s="92" t="s">
        <v>78</v>
      </c>
      <c r="T127" s="92" t="s">
        <v>209</v>
      </c>
      <c r="U127" s="92" t="s">
        <v>209</v>
      </c>
      <c r="V127" s="92"/>
      <c r="W127" s="132">
        <v>3</v>
      </c>
    </row>
    <row r="128" spans="1:23" hidden="1" x14ac:dyDescent="0.3">
      <c r="A128" s="113" t="s">
        <v>351</v>
      </c>
      <c r="B128" s="92">
        <v>31</v>
      </c>
      <c r="C128" s="114" t="s">
        <v>30</v>
      </c>
      <c r="D128" s="111">
        <v>3243</v>
      </c>
      <c r="E128" s="114" t="s">
        <v>239</v>
      </c>
      <c r="F128" s="92" t="s">
        <v>209</v>
      </c>
      <c r="G128" s="92" t="s">
        <v>201</v>
      </c>
      <c r="H128" s="92" t="s">
        <v>201</v>
      </c>
      <c r="I128" s="92" t="s">
        <v>201</v>
      </c>
      <c r="J128" s="92" t="s">
        <v>78</v>
      </c>
      <c r="K128" s="92" t="s">
        <v>201</v>
      </c>
      <c r="L128" s="92" t="s">
        <v>209</v>
      </c>
      <c r="M128" s="92" t="s">
        <v>201</v>
      </c>
      <c r="N128" s="92">
        <v>54</v>
      </c>
      <c r="O128" s="92">
        <v>0</v>
      </c>
      <c r="P128" s="92">
        <v>0</v>
      </c>
      <c r="Q128" s="92">
        <v>71</v>
      </c>
      <c r="R128" s="92" t="s">
        <v>209</v>
      </c>
      <c r="S128" s="92" t="s">
        <v>78</v>
      </c>
      <c r="T128" s="92" t="s">
        <v>209</v>
      </c>
      <c r="U128" s="92" t="s">
        <v>209</v>
      </c>
      <c r="V128" s="92" t="s">
        <v>513</v>
      </c>
      <c r="W128" s="132">
        <v>4</v>
      </c>
    </row>
    <row r="129" spans="1:23" x14ac:dyDescent="0.3">
      <c r="A129" s="115" t="s">
        <v>520</v>
      </c>
      <c r="B129" s="91">
        <v>35</v>
      </c>
      <c r="C129" s="116" t="s">
        <v>34</v>
      </c>
      <c r="D129" s="108">
        <v>7425</v>
      </c>
      <c r="E129" s="116" t="s">
        <v>235</v>
      </c>
      <c r="F129" s="91" t="s">
        <v>209</v>
      </c>
      <c r="G129" s="91" t="s">
        <v>201</v>
      </c>
      <c r="H129" s="91" t="s">
        <v>209</v>
      </c>
      <c r="I129" s="91" t="s">
        <v>209</v>
      </c>
      <c r="J129" s="91"/>
      <c r="K129" s="91" t="s">
        <v>201</v>
      </c>
      <c r="L129" s="91" t="s">
        <v>209</v>
      </c>
      <c r="M129" s="91" t="s">
        <v>209</v>
      </c>
      <c r="N129" s="91">
        <v>5</v>
      </c>
      <c r="O129" s="91">
        <v>27</v>
      </c>
      <c r="P129" s="91">
        <v>20</v>
      </c>
      <c r="Q129" s="91">
        <v>72</v>
      </c>
      <c r="R129" s="91" t="s">
        <v>209</v>
      </c>
      <c r="S129" s="91" t="s">
        <v>78</v>
      </c>
      <c r="T129" s="91" t="s">
        <v>209</v>
      </c>
      <c r="U129" s="91" t="s">
        <v>209</v>
      </c>
      <c r="V129" s="91"/>
      <c r="W129" s="129">
        <v>4</v>
      </c>
    </row>
    <row r="130" spans="1:23" x14ac:dyDescent="0.3">
      <c r="A130" s="113" t="s">
        <v>283</v>
      </c>
      <c r="B130" s="92">
        <v>35</v>
      </c>
      <c r="C130" s="114" t="s">
        <v>35</v>
      </c>
      <c r="D130" s="111">
        <v>3216</v>
      </c>
      <c r="E130" s="114" t="s">
        <v>239</v>
      </c>
      <c r="F130" s="92" t="s">
        <v>209</v>
      </c>
      <c r="G130" s="92" t="s">
        <v>201</v>
      </c>
      <c r="H130" s="92" t="s">
        <v>209</v>
      </c>
      <c r="I130" s="92" t="s">
        <v>209</v>
      </c>
      <c r="J130" s="92" t="s">
        <v>78</v>
      </c>
      <c r="K130" s="92" t="s">
        <v>201</v>
      </c>
      <c r="L130" s="92" t="s">
        <v>209</v>
      </c>
      <c r="M130" s="92" t="s">
        <v>209</v>
      </c>
      <c r="N130" s="92">
        <v>1</v>
      </c>
      <c r="O130" s="92">
        <v>6</v>
      </c>
      <c r="P130" s="92">
        <v>80</v>
      </c>
      <c r="Q130" s="92">
        <v>79</v>
      </c>
      <c r="R130" s="92" t="s">
        <v>209</v>
      </c>
      <c r="S130" s="92" t="s">
        <v>78</v>
      </c>
      <c r="T130" s="92" t="s">
        <v>209</v>
      </c>
      <c r="U130" s="92" t="s">
        <v>209</v>
      </c>
      <c r="V130" s="92"/>
      <c r="W130" s="132">
        <v>4</v>
      </c>
    </row>
    <row r="131" spans="1:23" x14ac:dyDescent="0.3">
      <c r="A131" s="115" t="s">
        <v>238</v>
      </c>
      <c r="B131" s="91">
        <v>35</v>
      </c>
      <c r="C131" s="116" t="s">
        <v>33</v>
      </c>
      <c r="D131" s="108">
        <v>9534</v>
      </c>
      <c r="E131" s="116" t="s">
        <v>241</v>
      </c>
      <c r="F131" s="91" t="s">
        <v>209</v>
      </c>
      <c r="G131" s="91" t="s">
        <v>209</v>
      </c>
      <c r="H131" s="91" t="s">
        <v>209</v>
      </c>
      <c r="I131" s="91" t="s">
        <v>209</v>
      </c>
      <c r="J131" s="91" t="s">
        <v>78</v>
      </c>
      <c r="K131" s="91" t="s">
        <v>209</v>
      </c>
      <c r="L131" s="91" t="s">
        <v>209</v>
      </c>
      <c r="M131" s="91" t="s">
        <v>209</v>
      </c>
      <c r="N131" s="91">
        <v>0</v>
      </c>
      <c r="O131" s="91">
        <v>0</v>
      </c>
      <c r="P131" s="91">
        <v>0</v>
      </c>
      <c r="Q131" s="91">
        <v>1</v>
      </c>
      <c r="R131" s="91" t="s">
        <v>201</v>
      </c>
      <c r="S131" s="91" t="s">
        <v>78</v>
      </c>
      <c r="T131" s="91" t="s">
        <v>201</v>
      </c>
      <c r="U131" s="91" t="s">
        <v>209</v>
      </c>
      <c r="V131" s="91" t="s">
        <v>534</v>
      </c>
      <c r="W131" s="129">
        <v>3</v>
      </c>
    </row>
    <row r="132" spans="1:23" x14ac:dyDescent="0.3">
      <c r="A132" s="113" t="s">
        <v>520</v>
      </c>
      <c r="B132" s="92">
        <v>36</v>
      </c>
      <c r="C132" s="114" t="s">
        <v>34</v>
      </c>
      <c r="D132" s="111">
        <v>4146</v>
      </c>
      <c r="E132" s="114" t="s">
        <v>239</v>
      </c>
      <c r="F132" s="92" t="s">
        <v>209</v>
      </c>
      <c r="G132" s="92" t="s">
        <v>209</v>
      </c>
      <c r="H132" s="92" t="s">
        <v>209</v>
      </c>
      <c r="I132" s="92" t="s">
        <v>209</v>
      </c>
      <c r="J132" s="92" t="s">
        <v>78</v>
      </c>
      <c r="K132" s="92" t="s">
        <v>209</v>
      </c>
      <c r="L132" s="92" t="s">
        <v>209</v>
      </c>
      <c r="M132" s="92" t="s">
        <v>209</v>
      </c>
      <c r="N132" s="92">
        <v>0</v>
      </c>
      <c r="O132" s="92">
        <v>0</v>
      </c>
      <c r="P132" s="92">
        <v>0</v>
      </c>
      <c r="Q132" s="92">
        <v>1</v>
      </c>
      <c r="R132" s="92" t="s">
        <v>209</v>
      </c>
      <c r="S132" s="92" t="s">
        <v>78</v>
      </c>
      <c r="T132" s="92" t="s">
        <v>209</v>
      </c>
      <c r="U132" s="92" t="s">
        <v>209</v>
      </c>
      <c r="V132" s="92" t="s">
        <v>535</v>
      </c>
      <c r="W132" s="132">
        <v>3</v>
      </c>
    </row>
    <row r="133" spans="1:23" hidden="1" x14ac:dyDescent="0.3">
      <c r="A133" s="115" t="s">
        <v>516</v>
      </c>
      <c r="B133" s="91">
        <v>32</v>
      </c>
      <c r="C133" s="116" t="s">
        <v>30</v>
      </c>
      <c r="D133" s="108">
        <v>698</v>
      </c>
      <c r="E133" s="116" t="s">
        <v>239</v>
      </c>
      <c r="F133" s="91" t="s">
        <v>209</v>
      </c>
      <c r="G133" s="91" t="s">
        <v>201</v>
      </c>
      <c r="H133" s="91" t="s">
        <v>209</v>
      </c>
      <c r="I133" s="91" t="s">
        <v>201</v>
      </c>
      <c r="J133" s="91" t="s">
        <v>78</v>
      </c>
      <c r="K133" s="91" t="s">
        <v>201</v>
      </c>
      <c r="L133" s="91" t="s">
        <v>209</v>
      </c>
      <c r="M133" s="91" t="s">
        <v>209</v>
      </c>
      <c r="N133" s="91">
        <v>30</v>
      </c>
      <c r="O133" s="91">
        <v>0</v>
      </c>
      <c r="P133" s="91">
        <v>0</v>
      </c>
      <c r="Q133" s="91">
        <v>67</v>
      </c>
      <c r="R133" s="91" t="s">
        <v>201</v>
      </c>
      <c r="S133" s="91" t="s">
        <v>78</v>
      </c>
      <c r="T133" s="91" t="s">
        <v>209</v>
      </c>
      <c r="U133" s="91" t="s">
        <v>209</v>
      </c>
      <c r="V133" s="91" t="s">
        <v>517</v>
      </c>
      <c r="W133" s="129">
        <v>4</v>
      </c>
    </row>
    <row r="134" spans="1:23" hidden="1" x14ac:dyDescent="0.3">
      <c r="A134" s="113" t="s">
        <v>356</v>
      </c>
      <c r="B134" s="92">
        <v>32</v>
      </c>
      <c r="C134" s="114" t="s">
        <v>32</v>
      </c>
      <c r="D134" s="111">
        <v>1410</v>
      </c>
      <c r="E134" s="114" t="s">
        <v>241</v>
      </c>
      <c r="F134" s="92" t="s">
        <v>209</v>
      </c>
      <c r="G134" s="92" t="s">
        <v>201</v>
      </c>
      <c r="H134" s="92" t="s">
        <v>209</v>
      </c>
      <c r="I134" s="92" t="s">
        <v>209</v>
      </c>
      <c r="J134" s="92" t="s">
        <v>78</v>
      </c>
      <c r="K134" s="92" t="s">
        <v>201</v>
      </c>
      <c r="L134" s="92" t="s">
        <v>209</v>
      </c>
      <c r="M134" s="92" t="s">
        <v>209</v>
      </c>
      <c r="N134" s="92">
        <v>4</v>
      </c>
      <c r="O134" s="92">
        <v>0</v>
      </c>
      <c r="P134" s="92">
        <v>0</v>
      </c>
      <c r="Q134" s="92">
        <v>41</v>
      </c>
      <c r="R134" s="92" t="s">
        <v>209</v>
      </c>
      <c r="S134" s="92" t="s">
        <v>78</v>
      </c>
      <c r="T134" s="92" t="s">
        <v>209</v>
      </c>
      <c r="U134" s="92" t="s">
        <v>209</v>
      </c>
      <c r="V134" s="92" t="s">
        <v>518</v>
      </c>
      <c r="W134" s="132">
        <v>5</v>
      </c>
    </row>
    <row r="135" spans="1:23" hidden="1" x14ac:dyDescent="0.3">
      <c r="A135" s="115" t="s">
        <v>349</v>
      </c>
      <c r="B135" s="91">
        <v>32</v>
      </c>
      <c r="C135" s="116" t="s">
        <v>31</v>
      </c>
      <c r="D135" s="108">
        <v>10183</v>
      </c>
      <c r="E135" s="116" t="s">
        <v>241</v>
      </c>
      <c r="F135" s="91" t="s">
        <v>209</v>
      </c>
      <c r="G135" s="91" t="s">
        <v>201</v>
      </c>
      <c r="H135" s="91" t="s">
        <v>201</v>
      </c>
      <c r="I135" s="91" t="s">
        <v>201</v>
      </c>
      <c r="J135" s="91" t="s">
        <v>78</v>
      </c>
      <c r="K135" s="91" t="s">
        <v>201</v>
      </c>
      <c r="L135" s="91" t="s">
        <v>209</v>
      </c>
      <c r="M135" s="91" t="s">
        <v>209</v>
      </c>
      <c r="N135" s="91">
        <v>2</v>
      </c>
      <c r="O135" s="91">
        <v>12</v>
      </c>
      <c r="P135" s="91">
        <v>65</v>
      </c>
      <c r="Q135" s="91">
        <v>100</v>
      </c>
      <c r="R135" s="91" t="s">
        <v>209</v>
      </c>
      <c r="S135" s="91" t="s">
        <v>78</v>
      </c>
      <c r="T135" s="91" t="s">
        <v>209</v>
      </c>
      <c r="U135" s="91" t="s">
        <v>209</v>
      </c>
      <c r="V135" s="91" t="s">
        <v>519</v>
      </c>
      <c r="W135" s="129">
        <v>4</v>
      </c>
    </row>
    <row r="136" spans="1:23" x14ac:dyDescent="0.3">
      <c r="A136" s="115" t="s">
        <v>283</v>
      </c>
      <c r="B136" s="91">
        <v>36</v>
      </c>
      <c r="C136" s="116" t="s">
        <v>35</v>
      </c>
      <c r="D136" s="108">
        <v>10114</v>
      </c>
      <c r="E136" s="116" t="s">
        <v>241</v>
      </c>
      <c r="F136" s="91" t="s">
        <v>209</v>
      </c>
      <c r="G136" s="91" t="s">
        <v>201</v>
      </c>
      <c r="H136" s="91" t="s">
        <v>201</v>
      </c>
      <c r="I136" s="91" t="s">
        <v>201</v>
      </c>
      <c r="J136" s="91" t="s">
        <v>15</v>
      </c>
      <c r="K136" s="91" t="s">
        <v>201</v>
      </c>
      <c r="L136" s="91" t="s">
        <v>209</v>
      </c>
      <c r="M136" s="91" t="s">
        <v>209</v>
      </c>
      <c r="N136" s="91">
        <v>0</v>
      </c>
      <c r="O136" s="91">
        <v>0</v>
      </c>
      <c r="P136" s="91">
        <v>0</v>
      </c>
      <c r="Q136" s="91">
        <v>1</v>
      </c>
      <c r="R136" s="91" t="s">
        <v>209</v>
      </c>
      <c r="S136" s="91" t="s">
        <v>78</v>
      </c>
      <c r="T136" s="91" t="s">
        <v>201</v>
      </c>
      <c r="U136" s="91" t="s">
        <v>209</v>
      </c>
      <c r="V136" s="91"/>
      <c r="W136" s="129">
        <v>2</v>
      </c>
    </row>
    <row r="137" spans="1:23" x14ac:dyDescent="0.3">
      <c r="A137" s="115" t="s">
        <v>238</v>
      </c>
      <c r="B137" s="91">
        <v>36</v>
      </c>
      <c r="C137" s="116" t="s">
        <v>33</v>
      </c>
      <c r="D137" s="108">
        <v>2122</v>
      </c>
      <c r="E137" s="116" t="s">
        <v>235</v>
      </c>
      <c r="F137" s="91" t="s">
        <v>209</v>
      </c>
      <c r="G137" s="91" t="s">
        <v>201</v>
      </c>
      <c r="H137" s="91" t="s">
        <v>201</v>
      </c>
      <c r="I137" s="91" t="s">
        <v>209</v>
      </c>
      <c r="J137" s="91" t="s">
        <v>78</v>
      </c>
      <c r="K137" s="91" t="s">
        <v>209</v>
      </c>
      <c r="L137" s="91" t="s">
        <v>209</v>
      </c>
      <c r="M137" s="91" t="s">
        <v>209</v>
      </c>
      <c r="N137" s="91">
        <v>0</v>
      </c>
      <c r="O137" s="91">
        <v>0</v>
      </c>
      <c r="P137" s="91">
        <v>250</v>
      </c>
      <c r="Q137" s="91">
        <v>94</v>
      </c>
      <c r="R137" s="91" t="s">
        <v>209</v>
      </c>
      <c r="S137" s="91" t="s">
        <v>78</v>
      </c>
      <c r="T137" s="91" t="s">
        <v>209</v>
      </c>
      <c r="U137" s="91" t="s">
        <v>209</v>
      </c>
      <c r="V137" s="91" t="s">
        <v>539</v>
      </c>
      <c r="W137" s="129">
        <v>5</v>
      </c>
    </row>
    <row r="138" spans="1:23" x14ac:dyDescent="0.3">
      <c r="A138" s="115" t="s">
        <v>238</v>
      </c>
      <c r="B138" s="91">
        <v>37</v>
      </c>
      <c r="C138" s="116" t="s">
        <v>33</v>
      </c>
      <c r="D138" s="108">
        <v>10933</v>
      </c>
      <c r="E138" s="116" t="s">
        <v>239</v>
      </c>
      <c r="F138" s="91" t="s">
        <v>209</v>
      </c>
      <c r="G138" s="91" t="s">
        <v>201</v>
      </c>
      <c r="H138" s="91" t="s">
        <v>201</v>
      </c>
      <c r="I138" s="91" t="s">
        <v>209</v>
      </c>
      <c r="J138" s="91" t="s">
        <v>78</v>
      </c>
      <c r="K138" s="91" t="s">
        <v>209</v>
      </c>
      <c r="L138" s="91" t="s">
        <v>209</v>
      </c>
      <c r="M138" s="91" t="s">
        <v>209</v>
      </c>
      <c r="N138" s="91">
        <v>0</v>
      </c>
      <c r="O138" s="91">
        <v>0</v>
      </c>
      <c r="P138" s="91">
        <v>0</v>
      </c>
      <c r="Q138" s="91">
        <v>100</v>
      </c>
      <c r="R138" s="91" t="s">
        <v>209</v>
      </c>
      <c r="S138" s="91" t="s">
        <v>78</v>
      </c>
      <c r="T138" s="91" t="s">
        <v>209</v>
      </c>
      <c r="U138" s="91" t="s">
        <v>209</v>
      </c>
      <c r="V138" s="91" t="s">
        <v>542</v>
      </c>
      <c r="W138" s="129">
        <v>4</v>
      </c>
    </row>
    <row r="139" spans="1:23" hidden="1" x14ac:dyDescent="0.3">
      <c r="A139" s="115" t="s">
        <v>349</v>
      </c>
      <c r="B139" s="91">
        <v>33</v>
      </c>
      <c r="C139" s="116" t="s">
        <v>31</v>
      </c>
      <c r="D139" s="108">
        <v>1828</v>
      </c>
      <c r="E139" s="116" t="s">
        <v>241</v>
      </c>
      <c r="F139" s="91" t="s">
        <v>209</v>
      </c>
      <c r="G139" s="91" t="s">
        <v>201</v>
      </c>
      <c r="H139" s="91" t="s">
        <v>209</v>
      </c>
      <c r="I139" s="91" t="s">
        <v>209</v>
      </c>
      <c r="J139" s="91" t="s">
        <v>78</v>
      </c>
      <c r="K139" s="91" t="s">
        <v>201</v>
      </c>
      <c r="L139" s="91" t="s">
        <v>209</v>
      </c>
      <c r="M139" s="91" t="s">
        <v>209</v>
      </c>
      <c r="N139" s="91">
        <v>0</v>
      </c>
      <c r="O139" s="91">
        <v>0</v>
      </c>
      <c r="P139" s="91">
        <v>0</v>
      </c>
      <c r="Q139" s="91">
        <v>100</v>
      </c>
      <c r="R139" s="91" t="s">
        <v>209</v>
      </c>
      <c r="S139" s="91" t="s">
        <v>78</v>
      </c>
      <c r="T139" s="91" t="s">
        <v>209</v>
      </c>
      <c r="U139" s="91" t="s">
        <v>209</v>
      </c>
      <c r="V139" s="91" t="s">
        <v>524</v>
      </c>
      <c r="W139" s="129">
        <v>1</v>
      </c>
    </row>
    <row r="140" spans="1:23" hidden="1" x14ac:dyDescent="0.3">
      <c r="A140" s="113" t="s">
        <v>351</v>
      </c>
      <c r="B140" s="92">
        <v>33</v>
      </c>
      <c r="C140" s="114" t="s">
        <v>30</v>
      </c>
      <c r="D140" s="111">
        <v>10905</v>
      </c>
      <c r="E140" s="114" t="s">
        <v>239</v>
      </c>
      <c r="F140" s="92" t="s">
        <v>209</v>
      </c>
      <c r="G140" s="92" t="s">
        <v>201</v>
      </c>
      <c r="H140" s="92" t="s">
        <v>209</v>
      </c>
      <c r="I140" s="92" t="s">
        <v>201</v>
      </c>
      <c r="J140" s="92" t="s">
        <v>78</v>
      </c>
      <c r="K140" s="92" t="s">
        <v>209</v>
      </c>
      <c r="L140" s="92" t="s">
        <v>209</v>
      </c>
      <c r="M140" s="92" t="s">
        <v>209</v>
      </c>
      <c r="N140" s="92">
        <v>14</v>
      </c>
      <c r="O140" s="92">
        <v>0</v>
      </c>
      <c r="P140" s="92">
        <v>0</v>
      </c>
      <c r="Q140" s="92">
        <v>61</v>
      </c>
      <c r="R140" s="92" t="s">
        <v>209</v>
      </c>
      <c r="S140" s="92" t="s">
        <v>78</v>
      </c>
      <c r="T140" s="92" t="s">
        <v>209</v>
      </c>
      <c r="U140" s="92" t="s">
        <v>209</v>
      </c>
      <c r="V140" s="92" t="s">
        <v>401</v>
      </c>
      <c r="W140" s="132">
        <v>5</v>
      </c>
    </row>
    <row r="141" spans="1:23" hidden="1" x14ac:dyDescent="0.3">
      <c r="A141" s="115" t="s">
        <v>356</v>
      </c>
      <c r="B141" s="91">
        <v>33</v>
      </c>
      <c r="C141" s="116" t="s">
        <v>32</v>
      </c>
      <c r="D141" s="108">
        <v>3009</v>
      </c>
      <c r="E141" s="116" t="s">
        <v>241</v>
      </c>
      <c r="F141" s="91" t="s">
        <v>209</v>
      </c>
      <c r="G141" s="91" t="s">
        <v>201</v>
      </c>
      <c r="H141" s="91" t="s">
        <v>201</v>
      </c>
      <c r="I141" s="91" t="s">
        <v>209</v>
      </c>
      <c r="J141" s="91" t="s">
        <v>78</v>
      </c>
      <c r="K141" s="91" t="s">
        <v>201</v>
      </c>
      <c r="L141" s="91" t="s">
        <v>209</v>
      </c>
      <c r="M141" s="91" t="s">
        <v>209</v>
      </c>
      <c r="N141" s="91">
        <v>7</v>
      </c>
      <c r="O141" s="91">
        <v>0</v>
      </c>
      <c r="P141" s="91">
        <v>0</v>
      </c>
      <c r="Q141" s="91">
        <v>45</v>
      </c>
      <c r="R141" s="91" t="s">
        <v>209</v>
      </c>
      <c r="S141" s="91" t="s">
        <v>78</v>
      </c>
      <c r="T141" s="91" t="s">
        <v>209</v>
      </c>
      <c r="U141" s="91" t="s">
        <v>209</v>
      </c>
      <c r="V141" s="91" t="s">
        <v>525</v>
      </c>
      <c r="W141" s="129">
        <v>3</v>
      </c>
    </row>
    <row r="142" spans="1:23" x14ac:dyDescent="0.3">
      <c r="A142" s="113" t="s">
        <v>253</v>
      </c>
      <c r="B142" s="92">
        <v>37</v>
      </c>
      <c r="C142" s="114" t="s">
        <v>35</v>
      </c>
      <c r="D142" s="111">
        <v>11176</v>
      </c>
      <c r="E142" s="114" t="s">
        <v>235</v>
      </c>
      <c r="F142" s="92" t="s">
        <v>209</v>
      </c>
      <c r="G142" s="92" t="s">
        <v>201</v>
      </c>
      <c r="H142" s="92" t="s">
        <v>209</v>
      </c>
      <c r="I142" s="92" t="s">
        <v>209</v>
      </c>
      <c r="J142" s="92" t="s">
        <v>78</v>
      </c>
      <c r="K142" s="92" t="s">
        <v>201</v>
      </c>
      <c r="L142" s="92" t="s">
        <v>209</v>
      </c>
      <c r="M142" s="92" t="s">
        <v>209</v>
      </c>
      <c r="N142" s="92">
        <v>18</v>
      </c>
      <c r="O142" s="92">
        <v>0</v>
      </c>
      <c r="P142" s="92">
        <v>30</v>
      </c>
      <c r="Q142" s="92">
        <v>40</v>
      </c>
      <c r="R142" s="92" t="s">
        <v>209</v>
      </c>
      <c r="S142" s="92" t="s">
        <v>78</v>
      </c>
      <c r="T142" s="92" t="s">
        <v>209</v>
      </c>
      <c r="U142" s="92" t="s">
        <v>209</v>
      </c>
      <c r="V142" s="92" t="s">
        <v>543</v>
      </c>
      <c r="W142" s="132">
        <v>5</v>
      </c>
    </row>
    <row r="143" spans="1:23" x14ac:dyDescent="0.3">
      <c r="A143" s="115" t="s">
        <v>256</v>
      </c>
      <c r="B143" s="91">
        <v>37</v>
      </c>
      <c r="C143" s="116" t="s">
        <v>34</v>
      </c>
      <c r="D143" s="108">
        <v>9704</v>
      </c>
      <c r="E143" s="116" t="s">
        <v>235</v>
      </c>
      <c r="F143" s="91" t="s">
        <v>209</v>
      </c>
      <c r="G143" s="91" t="s">
        <v>201</v>
      </c>
      <c r="H143" s="91" t="s">
        <v>209</v>
      </c>
      <c r="I143" s="91" t="s">
        <v>209</v>
      </c>
      <c r="J143" s="91" t="s">
        <v>78</v>
      </c>
      <c r="K143" s="91" t="s">
        <v>209</v>
      </c>
      <c r="L143" s="91" t="s">
        <v>209</v>
      </c>
      <c r="M143" s="91" t="s">
        <v>209</v>
      </c>
      <c r="N143" s="91">
        <v>0</v>
      </c>
      <c r="O143" s="91">
        <v>0</v>
      </c>
      <c r="P143" s="91">
        <v>0</v>
      </c>
      <c r="Q143" s="91">
        <v>1</v>
      </c>
      <c r="R143" s="91" t="s">
        <v>209</v>
      </c>
      <c r="S143" s="91" t="s">
        <v>78</v>
      </c>
      <c r="T143" s="91" t="s">
        <v>209</v>
      </c>
      <c r="U143" s="91" t="s">
        <v>209</v>
      </c>
      <c r="V143" s="91" t="s">
        <v>544</v>
      </c>
      <c r="W143" s="129">
        <v>1</v>
      </c>
    </row>
    <row r="144" spans="1:23" x14ac:dyDescent="0.3">
      <c r="A144" s="113" t="s">
        <v>256</v>
      </c>
      <c r="B144" s="92">
        <v>38</v>
      </c>
      <c r="C144" s="114" t="s">
        <v>34</v>
      </c>
      <c r="D144" s="111">
        <v>3243</v>
      </c>
      <c r="E144" s="114" t="s">
        <v>235</v>
      </c>
      <c r="F144" s="92" t="s">
        <v>209</v>
      </c>
      <c r="G144" s="92" t="s">
        <v>201</v>
      </c>
      <c r="H144" s="92" t="s">
        <v>201</v>
      </c>
      <c r="I144" s="92" t="s">
        <v>201</v>
      </c>
      <c r="J144" s="92" t="s">
        <v>78</v>
      </c>
      <c r="K144" s="92" t="s">
        <v>201</v>
      </c>
      <c r="L144" s="92" t="s">
        <v>209</v>
      </c>
      <c r="M144" s="92" t="s">
        <v>209</v>
      </c>
      <c r="N144" s="92">
        <v>2</v>
      </c>
      <c r="O144" s="92">
        <v>3</v>
      </c>
      <c r="P144" s="92">
        <v>110</v>
      </c>
      <c r="Q144" s="92">
        <v>70</v>
      </c>
      <c r="R144" s="92" t="s">
        <v>209</v>
      </c>
      <c r="S144" s="92" t="s">
        <v>78</v>
      </c>
      <c r="T144" s="92" t="s">
        <v>209</v>
      </c>
      <c r="U144" s="92" t="s">
        <v>209</v>
      </c>
      <c r="V144" s="92"/>
      <c r="W144" s="132">
        <v>4</v>
      </c>
    </row>
    <row r="145" spans="1:23" hidden="1" x14ac:dyDescent="0.3">
      <c r="A145" s="115" t="s">
        <v>349</v>
      </c>
      <c r="B145" s="91">
        <v>34</v>
      </c>
      <c r="C145" s="116" t="s">
        <v>31</v>
      </c>
      <c r="D145" s="108">
        <v>991</v>
      </c>
      <c r="E145" s="116" t="s">
        <v>241</v>
      </c>
      <c r="F145" s="91" t="s">
        <v>209</v>
      </c>
      <c r="G145" s="91" t="s">
        <v>201</v>
      </c>
      <c r="H145" s="91" t="s">
        <v>209</v>
      </c>
      <c r="I145" s="91" t="s">
        <v>209</v>
      </c>
      <c r="J145" s="91" t="s">
        <v>78</v>
      </c>
      <c r="K145" s="91" t="s">
        <v>201</v>
      </c>
      <c r="L145" s="91" t="s">
        <v>209</v>
      </c>
      <c r="M145" s="91" t="s">
        <v>209</v>
      </c>
      <c r="N145" s="91">
        <v>2</v>
      </c>
      <c r="O145" s="91">
        <v>3</v>
      </c>
      <c r="P145" s="91">
        <v>20</v>
      </c>
      <c r="Q145" s="91">
        <v>100</v>
      </c>
      <c r="R145" s="91" t="s">
        <v>209</v>
      </c>
      <c r="S145" s="91" t="s">
        <v>78</v>
      </c>
      <c r="T145" s="91" t="s">
        <v>209</v>
      </c>
      <c r="U145" s="91" t="s">
        <v>209</v>
      </c>
      <c r="V145" s="91" t="s">
        <v>527</v>
      </c>
      <c r="W145" s="129">
        <v>3</v>
      </c>
    </row>
    <row r="146" spans="1:23" hidden="1" x14ac:dyDescent="0.3">
      <c r="A146" s="113" t="s">
        <v>356</v>
      </c>
      <c r="B146" s="92">
        <v>34</v>
      </c>
      <c r="C146" s="114" t="s">
        <v>32</v>
      </c>
      <c r="D146" s="111">
        <v>6352</v>
      </c>
      <c r="E146" s="114" t="s">
        <v>241</v>
      </c>
      <c r="F146" s="92" t="s">
        <v>209</v>
      </c>
      <c r="G146" s="92" t="s">
        <v>201</v>
      </c>
      <c r="H146" s="92" t="s">
        <v>201</v>
      </c>
      <c r="I146" s="92" t="s">
        <v>209</v>
      </c>
      <c r="J146" s="92" t="s">
        <v>78</v>
      </c>
      <c r="K146" s="92" t="s">
        <v>209</v>
      </c>
      <c r="L146" s="92" t="s">
        <v>209</v>
      </c>
      <c r="M146" s="92" t="s">
        <v>209</v>
      </c>
      <c r="N146" s="92">
        <v>0</v>
      </c>
      <c r="O146" s="92">
        <v>0</v>
      </c>
      <c r="P146" s="92">
        <v>0</v>
      </c>
      <c r="Q146" s="92">
        <v>1</v>
      </c>
      <c r="R146" s="92" t="s">
        <v>209</v>
      </c>
      <c r="S146" s="92" t="s">
        <v>78</v>
      </c>
      <c r="T146" s="92" t="s">
        <v>209</v>
      </c>
      <c r="U146" s="92" t="s">
        <v>209</v>
      </c>
      <c r="V146" s="92" t="s">
        <v>528</v>
      </c>
      <c r="W146" s="132">
        <v>2</v>
      </c>
    </row>
    <row r="147" spans="1:23" hidden="1" x14ac:dyDescent="0.3">
      <c r="A147" s="115" t="s">
        <v>351</v>
      </c>
      <c r="B147" s="91">
        <v>34</v>
      </c>
      <c r="C147" s="116" t="s">
        <v>30</v>
      </c>
      <c r="D147" s="108">
        <v>2080</v>
      </c>
      <c r="E147" s="116" t="s">
        <v>239</v>
      </c>
      <c r="F147" s="91" t="s">
        <v>209</v>
      </c>
      <c r="G147" s="91" t="s">
        <v>201</v>
      </c>
      <c r="H147" s="91" t="s">
        <v>209</v>
      </c>
      <c r="I147" s="91" t="s">
        <v>209</v>
      </c>
      <c r="J147" s="91" t="s">
        <v>78</v>
      </c>
      <c r="K147" s="91" t="s">
        <v>201</v>
      </c>
      <c r="L147" s="91" t="s">
        <v>209</v>
      </c>
      <c r="M147" s="91" t="s">
        <v>209</v>
      </c>
      <c r="N147" s="91">
        <v>1</v>
      </c>
      <c r="O147" s="91">
        <v>0</v>
      </c>
      <c r="P147" s="91">
        <v>0</v>
      </c>
      <c r="Q147" s="91">
        <v>100</v>
      </c>
      <c r="R147" s="91" t="s">
        <v>209</v>
      </c>
      <c r="S147" s="91" t="s">
        <v>78</v>
      </c>
      <c r="T147" s="91" t="s">
        <v>209</v>
      </c>
      <c r="U147" s="91" t="s">
        <v>209</v>
      </c>
      <c r="V147" s="91" t="s">
        <v>529</v>
      </c>
      <c r="W147" s="129">
        <v>1</v>
      </c>
    </row>
    <row r="148" spans="1:23" x14ac:dyDescent="0.3">
      <c r="A148" s="115" t="s">
        <v>234</v>
      </c>
      <c r="B148" s="91">
        <v>38</v>
      </c>
      <c r="C148" s="116" t="s">
        <v>33</v>
      </c>
      <c r="D148" s="108">
        <v>9059</v>
      </c>
      <c r="E148" s="116" t="s">
        <v>239</v>
      </c>
      <c r="F148" s="91" t="s">
        <v>209</v>
      </c>
      <c r="G148" s="91" t="s">
        <v>201</v>
      </c>
      <c r="H148" s="91" t="s">
        <v>201</v>
      </c>
      <c r="I148" s="91" t="s">
        <v>201</v>
      </c>
      <c r="J148" s="91" t="s">
        <v>236</v>
      </c>
      <c r="K148" s="91" t="s">
        <v>201</v>
      </c>
      <c r="L148" s="91" t="s">
        <v>209</v>
      </c>
      <c r="M148" s="91" t="s">
        <v>209</v>
      </c>
      <c r="N148" s="91">
        <v>0</v>
      </c>
      <c r="O148" s="91">
        <v>9</v>
      </c>
      <c r="P148" s="91">
        <v>5</v>
      </c>
      <c r="Q148" s="91">
        <v>8</v>
      </c>
      <c r="R148" s="91" t="s">
        <v>209</v>
      </c>
      <c r="S148" s="91" t="s">
        <v>78</v>
      </c>
      <c r="T148" s="91" t="s">
        <v>209</v>
      </c>
      <c r="U148" s="91" t="s">
        <v>209</v>
      </c>
      <c r="V148" s="91"/>
      <c r="W148" s="129">
        <v>2</v>
      </c>
    </row>
    <row r="149" spans="1:23" x14ac:dyDescent="0.3">
      <c r="A149" s="113" t="s">
        <v>253</v>
      </c>
      <c r="B149" s="92">
        <v>38</v>
      </c>
      <c r="C149" s="114" t="s">
        <v>35</v>
      </c>
      <c r="D149" s="111">
        <v>1212</v>
      </c>
      <c r="E149" s="114" t="s">
        <v>241</v>
      </c>
      <c r="F149" s="92" t="s">
        <v>209</v>
      </c>
      <c r="G149" s="92" t="s">
        <v>201</v>
      </c>
      <c r="H149" s="92" t="s">
        <v>209</v>
      </c>
      <c r="I149" s="92" t="s">
        <v>201</v>
      </c>
      <c r="J149" s="92"/>
      <c r="K149" s="92" t="s">
        <v>201</v>
      </c>
      <c r="L149" s="92" t="s">
        <v>209</v>
      </c>
      <c r="M149" s="92" t="s">
        <v>209</v>
      </c>
      <c r="N149" s="92">
        <v>0</v>
      </c>
      <c r="O149" s="92">
        <v>0</v>
      </c>
      <c r="P149" s="92">
        <v>15</v>
      </c>
      <c r="Q149" s="92">
        <v>25</v>
      </c>
      <c r="R149" s="92" t="s">
        <v>209</v>
      </c>
      <c r="S149" s="92" t="s">
        <v>78</v>
      </c>
      <c r="T149" s="92" t="s">
        <v>209</v>
      </c>
      <c r="U149" s="92" t="s">
        <v>209</v>
      </c>
      <c r="V149" s="92"/>
      <c r="W149" s="132">
        <v>3</v>
      </c>
    </row>
    <row r="150" spans="1:23" x14ac:dyDescent="0.3">
      <c r="A150" s="113" t="s">
        <v>256</v>
      </c>
      <c r="B150" s="92">
        <v>39</v>
      </c>
      <c r="C150" s="114" t="s">
        <v>34</v>
      </c>
      <c r="D150" s="111">
        <v>11479</v>
      </c>
      <c r="E150" s="114" t="s">
        <v>235</v>
      </c>
      <c r="F150" s="92" t="s">
        <v>209</v>
      </c>
      <c r="G150" s="92" t="s">
        <v>201</v>
      </c>
      <c r="H150" s="92" t="s">
        <v>201</v>
      </c>
      <c r="I150" s="92" t="s">
        <v>201</v>
      </c>
      <c r="J150" s="92" t="s">
        <v>78</v>
      </c>
      <c r="K150" s="92" t="s">
        <v>201</v>
      </c>
      <c r="L150" s="92" t="s">
        <v>209</v>
      </c>
      <c r="M150" s="92" t="s">
        <v>209</v>
      </c>
      <c r="N150" s="92">
        <v>0</v>
      </c>
      <c r="O150" s="92">
        <v>0</v>
      </c>
      <c r="P150" s="92">
        <v>50</v>
      </c>
      <c r="Q150" s="92">
        <v>80</v>
      </c>
      <c r="R150" s="92" t="s">
        <v>209</v>
      </c>
      <c r="S150" s="92" t="s">
        <v>78</v>
      </c>
      <c r="T150" s="92" t="s">
        <v>209</v>
      </c>
      <c r="U150" s="92" t="s">
        <v>209</v>
      </c>
      <c r="V150" s="92"/>
      <c r="W150" s="132">
        <v>3</v>
      </c>
    </row>
    <row r="151" spans="1:23" hidden="1" x14ac:dyDescent="0.3">
      <c r="A151" s="115" t="s">
        <v>356</v>
      </c>
      <c r="B151" s="91">
        <v>35</v>
      </c>
      <c r="C151" s="116" t="s">
        <v>32</v>
      </c>
      <c r="D151" s="108">
        <v>60</v>
      </c>
      <c r="E151" s="116" t="s">
        <v>241</v>
      </c>
      <c r="F151" s="91" t="s">
        <v>209</v>
      </c>
      <c r="G151" s="91" t="s">
        <v>201</v>
      </c>
      <c r="H151" s="91" t="s">
        <v>209</v>
      </c>
      <c r="I151" s="91" t="s">
        <v>209</v>
      </c>
      <c r="J151" s="91" t="s">
        <v>78</v>
      </c>
      <c r="K151" s="91" t="s">
        <v>201</v>
      </c>
      <c r="L151" s="91" t="s">
        <v>209</v>
      </c>
      <c r="M151" s="91" t="s">
        <v>209</v>
      </c>
      <c r="N151" s="91">
        <v>0</v>
      </c>
      <c r="O151" s="91">
        <v>0</v>
      </c>
      <c r="P151" s="91">
        <v>0</v>
      </c>
      <c r="Q151" s="91">
        <v>1</v>
      </c>
      <c r="R151" s="91" t="s">
        <v>209</v>
      </c>
      <c r="S151" s="91" t="s">
        <v>78</v>
      </c>
      <c r="T151" s="91" t="s">
        <v>209</v>
      </c>
      <c r="U151" s="91" t="s">
        <v>209</v>
      </c>
      <c r="V151" s="91" t="s">
        <v>532</v>
      </c>
      <c r="W151" s="129">
        <v>2</v>
      </c>
    </row>
    <row r="152" spans="1:23" hidden="1" x14ac:dyDescent="0.3">
      <c r="A152" s="113" t="s">
        <v>349</v>
      </c>
      <c r="B152" s="92">
        <v>35</v>
      </c>
      <c r="C152" s="114" t="s">
        <v>31</v>
      </c>
      <c r="D152" s="111">
        <v>7426</v>
      </c>
      <c r="E152" s="114" t="s">
        <v>241</v>
      </c>
      <c r="F152" s="92" t="s">
        <v>209</v>
      </c>
      <c r="G152" s="92" t="s">
        <v>201</v>
      </c>
      <c r="H152" s="92" t="s">
        <v>201</v>
      </c>
      <c r="I152" s="92" t="s">
        <v>201</v>
      </c>
      <c r="J152" s="92" t="s">
        <v>15</v>
      </c>
      <c r="K152" s="92" t="s">
        <v>201</v>
      </c>
      <c r="L152" s="92" t="s">
        <v>209</v>
      </c>
      <c r="M152" s="92" t="s">
        <v>209</v>
      </c>
      <c r="N152" s="92">
        <v>8</v>
      </c>
      <c r="O152" s="92">
        <v>24</v>
      </c>
      <c r="P152" s="92">
        <v>145</v>
      </c>
      <c r="Q152" s="92">
        <v>93</v>
      </c>
      <c r="R152" s="92" t="s">
        <v>209</v>
      </c>
      <c r="S152" s="92">
        <v>1</v>
      </c>
      <c r="T152" s="92" t="s">
        <v>209</v>
      </c>
      <c r="U152" s="92" t="s">
        <v>209</v>
      </c>
      <c r="V152" s="92" t="s">
        <v>533</v>
      </c>
      <c r="W152" s="132">
        <v>5</v>
      </c>
    </row>
    <row r="153" spans="1:23" x14ac:dyDescent="0.3">
      <c r="A153" s="115" t="s">
        <v>234</v>
      </c>
      <c r="B153" s="91">
        <v>39</v>
      </c>
      <c r="C153" s="116" t="s">
        <v>33</v>
      </c>
      <c r="D153" s="108">
        <v>2478</v>
      </c>
      <c r="E153" s="116" t="s">
        <v>239</v>
      </c>
      <c r="F153" s="91" t="s">
        <v>209</v>
      </c>
      <c r="G153" s="91" t="s">
        <v>201</v>
      </c>
      <c r="H153" s="91" t="s">
        <v>201</v>
      </c>
      <c r="I153" s="91" t="s">
        <v>209</v>
      </c>
      <c r="J153" s="91" t="s">
        <v>236</v>
      </c>
      <c r="K153" s="91" t="s">
        <v>201</v>
      </c>
      <c r="L153" s="91" t="s">
        <v>209</v>
      </c>
      <c r="M153" s="91" t="s">
        <v>209</v>
      </c>
      <c r="N153" s="91">
        <v>3</v>
      </c>
      <c r="O153" s="91">
        <v>9</v>
      </c>
      <c r="P153" s="91">
        <v>40</v>
      </c>
      <c r="Q153" s="91">
        <v>88</v>
      </c>
      <c r="R153" s="91" t="s">
        <v>209</v>
      </c>
      <c r="S153" s="91" t="s">
        <v>78</v>
      </c>
      <c r="T153" s="91" t="s">
        <v>209</v>
      </c>
      <c r="U153" s="91" t="s">
        <v>209</v>
      </c>
      <c r="V153" s="91"/>
      <c r="W153" s="129">
        <v>4</v>
      </c>
    </row>
    <row r="154" spans="1:23" x14ac:dyDescent="0.3">
      <c r="A154" s="113" t="s">
        <v>280</v>
      </c>
      <c r="B154" s="92">
        <v>39</v>
      </c>
      <c r="C154" s="114" t="s">
        <v>35</v>
      </c>
      <c r="D154" s="111">
        <v>244</v>
      </c>
      <c r="E154" s="114" t="s">
        <v>241</v>
      </c>
      <c r="F154" s="92" t="s">
        <v>201</v>
      </c>
      <c r="G154" s="92" t="s">
        <v>209</v>
      </c>
      <c r="H154" s="92" t="s">
        <v>209</v>
      </c>
      <c r="I154" s="92" t="s">
        <v>209</v>
      </c>
      <c r="J154" s="92"/>
      <c r="K154" s="92" t="s">
        <v>209</v>
      </c>
      <c r="L154" s="92" t="s">
        <v>209</v>
      </c>
      <c r="M154" s="92" t="s">
        <v>209</v>
      </c>
      <c r="N154" s="92">
        <v>0</v>
      </c>
      <c r="O154" s="92">
        <v>0</v>
      </c>
      <c r="P154" s="92">
        <v>0</v>
      </c>
      <c r="Q154" s="92">
        <v>100</v>
      </c>
      <c r="R154" s="92" t="s">
        <v>209</v>
      </c>
      <c r="S154" s="92" t="s">
        <v>78</v>
      </c>
      <c r="T154" s="92" t="s">
        <v>209</v>
      </c>
      <c r="U154" s="92" t="s">
        <v>209</v>
      </c>
      <c r="V154" s="92"/>
      <c r="W154" s="132">
        <v>3</v>
      </c>
    </row>
    <row r="155" spans="1:23" x14ac:dyDescent="0.3">
      <c r="A155" s="113" t="s">
        <v>280</v>
      </c>
      <c r="B155" s="92">
        <v>40</v>
      </c>
      <c r="C155" s="114" t="s">
        <v>35</v>
      </c>
      <c r="D155" s="111">
        <v>7333</v>
      </c>
      <c r="E155" s="114" t="s">
        <v>239</v>
      </c>
      <c r="F155" s="92" t="s">
        <v>209</v>
      </c>
      <c r="G155" s="92" t="s">
        <v>201</v>
      </c>
      <c r="H155" s="92" t="s">
        <v>201</v>
      </c>
      <c r="I155" s="92" t="s">
        <v>209</v>
      </c>
      <c r="J155" s="92" t="s">
        <v>78</v>
      </c>
      <c r="K155" s="92" t="s">
        <v>201</v>
      </c>
      <c r="L155" s="92" t="s">
        <v>209</v>
      </c>
      <c r="M155" s="92" t="s">
        <v>209</v>
      </c>
      <c r="N155" s="92">
        <v>0</v>
      </c>
      <c r="O155" s="92">
        <v>3</v>
      </c>
      <c r="P155" s="92">
        <v>40</v>
      </c>
      <c r="Q155" s="92">
        <v>72</v>
      </c>
      <c r="R155" s="92" t="s">
        <v>209</v>
      </c>
      <c r="S155" s="92" t="s">
        <v>78</v>
      </c>
      <c r="T155" s="92" t="s">
        <v>209</v>
      </c>
      <c r="U155" s="92" t="s">
        <v>209</v>
      </c>
      <c r="V155" s="92"/>
      <c r="W155" s="132">
        <v>4</v>
      </c>
    </row>
    <row r="156" spans="1:23" hidden="1" x14ac:dyDescent="0.3">
      <c r="A156" s="113" t="s">
        <v>349</v>
      </c>
      <c r="B156" s="92">
        <v>36</v>
      </c>
      <c r="C156" s="114" t="s">
        <v>31</v>
      </c>
      <c r="D156" s="111">
        <v>3424</v>
      </c>
      <c r="E156" s="114" t="s">
        <v>241</v>
      </c>
      <c r="F156" s="92" t="s">
        <v>209</v>
      </c>
      <c r="G156" s="92" t="s">
        <v>201</v>
      </c>
      <c r="H156" s="92" t="s">
        <v>209</v>
      </c>
      <c r="I156" s="92" t="s">
        <v>209</v>
      </c>
      <c r="J156" s="92" t="s">
        <v>78</v>
      </c>
      <c r="K156" s="92" t="s">
        <v>209</v>
      </c>
      <c r="L156" s="92" t="s">
        <v>209</v>
      </c>
      <c r="M156" s="92" t="s">
        <v>209</v>
      </c>
      <c r="N156" s="92">
        <v>3</v>
      </c>
      <c r="O156" s="92">
        <v>6</v>
      </c>
      <c r="P156" s="92">
        <v>0</v>
      </c>
      <c r="Q156" s="92">
        <v>100</v>
      </c>
      <c r="R156" s="92" t="s">
        <v>209</v>
      </c>
      <c r="S156" s="92" t="s">
        <v>78</v>
      </c>
      <c r="T156" s="92" t="s">
        <v>209</v>
      </c>
      <c r="U156" s="92" t="s">
        <v>209</v>
      </c>
      <c r="V156" s="92" t="s">
        <v>536</v>
      </c>
      <c r="W156" s="132">
        <v>3</v>
      </c>
    </row>
    <row r="157" spans="1:23" hidden="1" x14ac:dyDescent="0.3">
      <c r="A157" s="115" t="s">
        <v>356</v>
      </c>
      <c r="B157" s="91">
        <v>36</v>
      </c>
      <c r="C157" s="116" t="s">
        <v>32</v>
      </c>
      <c r="D157" s="108">
        <v>8717</v>
      </c>
      <c r="E157" s="116" t="s">
        <v>241</v>
      </c>
      <c r="F157" s="91" t="s">
        <v>209</v>
      </c>
      <c r="G157" s="91" t="s">
        <v>201</v>
      </c>
      <c r="H157" s="91" t="s">
        <v>201</v>
      </c>
      <c r="I157" s="91" t="s">
        <v>201</v>
      </c>
      <c r="J157" s="91" t="s">
        <v>78</v>
      </c>
      <c r="K157" s="91" t="s">
        <v>201</v>
      </c>
      <c r="L157" s="91" t="s">
        <v>209</v>
      </c>
      <c r="M157" s="91" t="s">
        <v>209</v>
      </c>
      <c r="N157" s="91">
        <v>8</v>
      </c>
      <c r="O157" s="91">
        <v>0</v>
      </c>
      <c r="P157" s="91">
        <v>0</v>
      </c>
      <c r="Q157" s="91">
        <v>100</v>
      </c>
      <c r="R157" s="91" t="s">
        <v>209</v>
      </c>
      <c r="S157" s="91" t="s">
        <v>78</v>
      </c>
      <c r="T157" s="91" t="s">
        <v>209</v>
      </c>
      <c r="U157" s="91" t="s">
        <v>209</v>
      </c>
      <c r="V157" s="91" t="s">
        <v>537</v>
      </c>
      <c r="W157" s="129">
        <v>2</v>
      </c>
    </row>
    <row r="158" spans="1:23" hidden="1" x14ac:dyDescent="0.3">
      <c r="A158" s="113" t="s">
        <v>351</v>
      </c>
      <c r="B158" s="92">
        <v>36</v>
      </c>
      <c r="C158" s="114" t="s">
        <v>30</v>
      </c>
      <c r="D158" s="111">
        <v>4731</v>
      </c>
      <c r="E158" s="114" t="s">
        <v>241</v>
      </c>
      <c r="F158" s="92" t="s">
        <v>209</v>
      </c>
      <c r="G158" s="92" t="s">
        <v>201</v>
      </c>
      <c r="H158" s="92" t="s">
        <v>209</v>
      </c>
      <c r="I158" s="92" t="s">
        <v>209</v>
      </c>
      <c r="J158" s="92" t="s">
        <v>78</v>
      </c>
      <c r="K158" s="92" t="s">
        <v>201</v>
      </c>
      <c r="L158" s="92" t="s">
        <v>209</v>
      </c>
      <c r="M158" s="92" t="s">
        <v>209</v>
      </c>
      <c r="N158" s="92">
        <v>62</v>
      </c>
      <c r="O158" s="92">
        <v>0</v>
      </c>
      <c r="P158" s="92">
        <v>0</v>
      </c>
      <c r="Q158" s="92">
        <v>32</v>
      </c>
      <c r="R158" s="92" t="s">
        <v>209</v>
      </c>
      <c r="S158" s="92" t="s">
        <v>78</v>
      </c>
      <c r="T158" s="92" t="s">
        <v>209</v>
      </c>
      <c r="U158" s="92" t="s">
        <v>209</v>
      </c>
      <c r="V158" s="92" t="s">
        <v>538</v>
      </c>
      <c r="W158" s="132">
        <v>3</v>
      </c>
    </row>
    <row r="159" spans="1:23" x14ac:dyDescent="0.3">
      <c r="A159" s="113" t="s">
        <v>280</v>
      </c>
      <c r="B159" s="92">
        <v>41</v>
      </c>
      <c r="C159" s="114" t="s">
        <v>35</v>
      </c>
      <c r="D159" s="111">
        <v>9534</v>
      </c>
      <c r="E159" s="114" t="s">
        <v>235</v>
      </c>
      <c r="F159" s="92" t="s">
        <v>209</v>
      </c>
      <c r="G159" s="92" t="s">
        <v>209</v>
      </c>
      <c r="H159" s="92" t="s">
        <v>209</v>
      </c>
      <c r="I159" s="92" t="s">
        <v>209</v>
      </c>
      <c r="J159" s="92" t="s">
        <v>78</v>
      </c>
      <c r="K159" s="92" t="s">
        <v>209</v>
      </c>
      <c r="L159" s="92" t="s">
        <v>209</v>
      </c>
      <c r="M159" s="92" t="s">
        <v>209</v>
      </c>
      <c r="N159" s="92">
        <v>0</v>
      </c>
      <c r="O159" s="92">
        <v>0</v>
      </c>
      <c r="P159" s="92">
        <v>0</v>
      </c>
      <c r="Q159" s="92">
        <v>100</v>
      </c>
      <c r="R159" s="92" t="s">
        <v>201</v>
      </c>
      <c r="S159" s="92" t="s">
        <v>78</v>
      </c>
      <c r="T159" s="92" t="s">
        <v>209</v>
      </c>
      <c r="U159" s="92" t="s">
        <v>209</v>
      </c>
      <c r="V159" s="92" t="s">
        <v>553</v>
      </c>
      <c r="W159" s="132">
        <v>4</v>
      </c>
    </row>
    <row r="160" spans="1:23" hidden="1" x14ac:dyDescent="0.3">
      <c r="A160" s="113" t="s">
        <v>351</v>
      </c>
      <c r="B160" s="92">
        <v>36</v>
      </c>
      <c r="C160" s="114" t="s">
        <v>30</v>
      </c>
      <c r="D160" s="111">
        <v>2840</v>
      </c>
      <c r="E160" s="114" t="s">
        <v>239</v>
      </c>
      <c r="F160" s="92" t="s">
        <v>209</v>
      </c>
      <c r="G160" s="92" t="s">
        <v>201</v>
      </c>
      <c r="H160" s="92" t="s">
        <v>209</v>
      </c>
      <c r="I160" s="92" t="s">
        <v>209</v>
      </c>
      <c r="J160" s="92" t="s">
        <v>78</v>
      </c>
      <c r="K160" s="92" t="s">
        <v>201</v>
      </c>
      <c r="L160" s="92" t="s">
        <v>209</v>
      </c>
      <c r="M160" s="92" t="s">
        <v>201</v>
      </c>
      <c r="N160" s="92">
        <v>30</v>
      </c>
      <c r="O160" s="92">
        <v>0</v>
      </c>
      <c r="P160" s="92">
        <v>0</v>
      </c>
      <c r="Q160" s="92">
        <v>72</v>
      </c>
      <c r="R160" s="92" t="s">
        <v>201</v>
      </c>
      <c r="S160" s="92" t="s">
        <v>78</v>
      </c>
      <c r="T160" s="92" t="s">
        <v>209</v>
      </c>
      <c r="U160" s="92" t="s">
        <v>209</v>
      </c>
      <c r="V160" s="92"/>
      <c r="W160" s="132">
        <v>4</v>
      </c>
    </row>
    <row r="161" spans="1:23" hidden="1" x14ac:dyDescent="0.3">
      <c r="A161" s="115" t="s">
        <v>349</v>
      </c>
      <c r="B161" s="91">
        <v>37</v>
      </c>
      <c r="C161" s="116" t="s">
        <v>31</v>
      </c>
      <c r="D161" s="108">
        <v>10380</v>
      </c>
      <c r="E161" s="116" t="s">
        <v>241</v>
      </c>
      <c r="F161" s="91" t="s">
        <v>209</v>
      </c>
      <c r="G161" s="91" t="s">
        <v>201</v>
      </c>
      <c r="H161" s="91" t="s">
        <v>209</v>
      </c>
      <c r="I161" s="91" t="s">
        <v>201</v>
      </c>
      <c r="J161" s="91" t="s">
        <v>78</v>
      </c>
      <c r="K161" s="91" t="s">
        <v>201</v>
      </c>
      <c r="L161" s="91" t="s">
        <v>209</v>
      </c>
      <c r="M161" s="91" t="s">
        <v>209</v>
      </c>
      <c r="N161" s="91">
        <v>0</v>
      </c>
      <c r="O161" s="91">
        <v>0</v>
      </c>
      <c r="P161" s="91">
        <v>0</v>
      </c>
      <c r="Q161" s="91">
        <v>100</v>
      </c>
      <c r="R161" s="91" t="s">
        <v>209</v>
      </c>
      <c r="S161" s="91" t="s">
        <v>78</v>
      </c>
      <c r="T161" s="91" t="s">
        <v>209</v>
      </c>
      <c r="U161" s="91" t="s">
        <v>209</v>
      </c>
      <c r="V161" s="91" t="s">
        <v>540</v>
      </c>
      <c r="W161" s="129">
        <v>2</v>
      </c>
    </row>
    <row r="162" spans="1:23" hidden="1" x14ac:dyDescent="0.3">
      <c r="A162" s="113" t="s">
        <v>356</v>
      </c>
      <c r="B162" s="92">
        <v>37</v>
      </c>
      <c r="C162" s="114" t="s">
        <v>32</v>
      </c>
      <c r="D162" s="111">
        <v>9501</v>
      </c>
      <c r="E162" s="114" t="s">
        <v>241</v>
      </c>
      <c r="F162" s="92" t="s">
        <v>209</v>
      </c>
      <c r="G162" s="92" t="s">
        <v>201</v>
      </c>
      <c r="H162" s="92" t="s">
        <v>201</v>
      </c>
      <c r="I162" s="92" t="s">
        <v>201</v>
      </c>
      <c r="J162" s="92" t="s">
        <v>78</v>
      </c>
      <c r="K162" s="92" t="s">
        <v>201</v>
      </c>
      <c r="L162" s="92" t="s">
        <v>209</v>
      </c>
      <c r="M162" s="92" t="s">
        <v>209</v>
      </c>
      <c r="N162" s="92">
        <v>84</v>
      </c>
      <c r="O162" s="92">
        <v>0</v>
      </c>
      <c r="P162" s="92">
        <v>0</v>
      </c>
      <c r="Q162" s="92">
        <v>79</v>
      </c>
      <c r="R162" s="92" t="s">
        <v>209</v>
      </c>
      <c r="S162" s="92" t="s">
        <v>78</v>
      </c>
      <c r="T162" s="92" t="s">
        <v>209</v>
      </c>
      <c r="U162" s="92" t="s">
        <v>209</v>
      </c>
      <c r="V162" s="92" t="s">
        <v>541</v>
      </c>
      <c r="W162" s="132">
        <v>5</v>
      </c>
    </row>
    <row r="163" spans="1:23" x14ac:dyDescent="0.3">
      <c r="A163" s="113" t="s">
        <v>280</v>
      </c>
      <c r="B163" s="92">
        <v>42</v>
      </c>
      <c r="C163" s="114" t="s">
        <v>34</v>
      </c>
      <c r="D163" s="111">
        <v>1828</v>
      </c>
      <c r="E163" s="114" t="s">
        <v>235</v>
      </c>
      <c r="F163" s="92" t="s">
        <v>209</v>
      </c>
      <c r="G163" s="92" t="s">
        <v>201</v>
      </c>
      <c r="H163" s="92" t="s">
        <v>209</v>
      </c>
      <c r="I163" s="92" t="s">
        <v>201</v>
      </c>
      <c r="J163" s="92"/>
      <c r="K163" s="92" t="s">
        <v>201</v>
      </c>
      <c r="L163" s="92" t="s">
        <v>209</v>
      </c>
      <c r="M163" s="92" t="s">
        <v>209</v>
      </c>
      <c r="N163" s="92">
        <v>0</v>
      </c>
      <c r="O163" s="92">
        <v>0</v>
      </c>
      <c r="P163" s="92">
        <v>20</v>
      </c>
      <c r="Q163" s="92">
        <v>33</v>
      </c>
      <c r="R163" s="92" t="s">
        <v>209</v>
      </c>
      <c r="S163" s="92" t="s">
        <v>78</v>
      </c>
      <c r="T163" s="92" t="s">
        <v>201</v>
      </c>
      <c r="U163" s="92" t="s">
        <v>209</v>
      </c>
      <c r="V163" s="92"/>
      <c r="W163" s="132">
        <v>2</v>
      </c>
    </row>
    <row r="164" spans="1:23" x14ac:dyDescent="0.3">
      <c r="A164" s="113" t="s">
        <v>378</v>
      </c>
      <c r="B164" s="92">
        <v>43</v>
      </c>
      <c r="C164" s="114" t="s">
        <v>35</v>
      </c>
      <c r="D164" s="111">
        <v>3009</v>
      </c>
      <c r="E164" s="114" t="s">
        <v>241</v>
      </c>
      <c r="F164" s="92" t="s">
        <v>209</v>
      </c>
      <c r="G164" s="92" t="s">
        <v>201</v>
      </c>
      <c r="H164" s="92" t="s">
        <v>201</v>
      </c>
      <c r="I164" s="92" t="s">
        <v>209</v>
      </c>
      <c r="J164" s="92" t="s">
        <v>78</v>
      </c>
      <c r="K164" s="92" t="s">
        <v>209</v>
      </c>
      <c r="L164" s="92" t="s">
        <v>209</v>
      </c>
      <c r="M164" s="92" t="s">
        <v>209</v>
      </c>
      <c r="N164" s="92">
        <v>3</v>
      </c>
      <c r="O164" s="92">
        <v>3</v>
      </c>
      <c r="P164" s="92">
        <v>0</v>
      </c>
      <c r="Q164" s="92">
        <v>48</v>
      </c>
      <c r="R164" s="92" t="s">
        <v>209</v>
      </c>
      <c r="S164" s="92" t="s">
        <v>78</v>
      </c>
      <c r="T164" s="92" t="s">
        <v>209</v>
      </c>
      <c r="U164" s="92" t="s">
        <v>209</v>
      </c>
      <c r="V164" s="92" t="s">
        <v>496</v>
      </c>
      <c r="W164" s="132">
        <v>3</v>
      </c>
    </row>
    <row r="165" spans="1:23" x14ac:dyDescent="0.3">
      <c r="A165" s="115" t="s">
        <v>218</v>
      </c>
      <c r="B165" s="91">
        <v>43</v>
      </c>
      <c r="C165" s="116" t="s">
        <v>34</v>
      </c>
      <c r="D165" s="108">
        <v>10183</v>
      </c>
      <c r="E165" s="116" t="s">
        <v>235</v>
      </c>
      <c r="F165" s="91" t="s">
        <v>209</v>
      </c>
      <c r="G165" s="91" t="s">
        <v>209</v>
      </c>
      <c r="H165" s="91" t="s">
        <v>201</v>
      </c>
      <c r="I165" s="91" t="s">
        <v>209</v>
      </c>
      <c r="J165" s="91" t="s">
        <v>78</v>
      </c>
      <c r="K165" s="91" t="s">
        <v>201</v>
      </c>
      <c r="L165" s="91" t="s">
        <v>201</v>
      </c>
      <c r="M165" s="91" t="s">
        <v>201</v>
      </c>
      <c r="N165" s="91">
        <v>0</v>
      </c>
      <c r="O165" s="91">
        <v>0</v>
      </c>
      <c r="P165" s="91">
        <v>30</v>
      </c>
      <c r="Q165" s="91">
        <v>75</v>
      </c>
      <c r="R165" s="91" t="s">
        <v>209</v>
      </c>
      <c r="S165" s="91" t="s">
        <v>78</v>
      </c>
      <c r="T165" s="91" t="s">
        <v>209</v>
      </c>
      <c r="U165" s="91" t="s">
        <v>209</v>
      </c>
      <c r="V165" s="91"/>
      <c r="W165" s="129">
        <v>5</v>
      </c>
    </row>
    <row r="166" spans="1:23" x14ac:dyDescent="0.3">
      <c r="A166" s="113" t="s">
        <v>253</v>
      </c>
      <c r="B166" s="92">
        <v>43</v>
      </c>
      <c r="C166" s="114" t="s">
        <v>33</v>
      </c>
      <c r="D166" s="111">
        <v>8717</v>
      </c>
      <c r="E166" s="114" t="s">
        <v>241</v>
      </c>
      <c r="F166" s="92" t="s">
        <v>209</v>
      </c>
      <c r="G166" s="92" t="s">
        <v>201</v>
      </c>
      <c r="H166" s="92" t="s">
        <v>201</v>
      </c>
      <c r="I166" s="92" t="s">
        <v>209</v>
      </c>
      <c r="J166" s="92" t="s">
        <v>78</v>
      </c>
      <c r="K166" s="92" t="s">
        <v>209</v>
      </c>
      <c r="L166" s="92" t="s">
        <v>209</v>
      </c>
      <c r="M166" s="92" t="s">
        <v>209</v>
      </c>
      <c r="N166" s="92">
        <v>0</v>
      </c>
      <c r="O166" s="92">
        <v>0</v>
      </c>
      <c r="P166" s="92">
        <v>0</v>
      </c>
      <c r="Q166" s="92">
        <v>100</v>
      </c>
      <c r="R166" s="92" t="s">
        <v>201</v>
      </c>
      <c r="S166" s="92" t="s">
        <v>78</v>
      </c>
      <c r="T166" s="92" t="s">
        <v>209</v>
      </c>
      <c r="U166" s="92" t="s">
        <v>209</v>
      </c>
      <c r="V166" s="92"/>
      <c r="W166" s="132">
        <v>3</v>
      </c>
    </row>
    <row r="167" spans="1:23" x14ac:dyDescent="0.3">
      <c r="A167" s="113" t="s">
        <v>253</v>
      </c>
      <c r="B167" s="92">
        <v>44</v>
      </c>
      <c r="C167" s="114" t="s">
        <v>33</v>
      </c>
      <c r="D167" s="111">
        <v>996</v>
      </c>
      <c r="E167" s="114" t="s">
        <v>239</v>
      </c>
      <c r="F167" s="92" t="s">
        <v>209</v>
      </c>
      <c r="G167" s="92" t="s">
        <v>209</v>
      </c>
      <c r="H167" s="92" t="s">
        <v>201</v>
      </c>
      <c r="I167" s="92" t="s">
        <v>209</v>
      </c>
      <c r="J167" s="92" t="s">
        <v>78</v>
      </c>
      <c r="K167" s="92" t="s">
        <v>209</v>
      </c>
      <c r="L167" s="92" t="s">
        <v>209</v>
      </c>
      <c r="M167" s="92" t="s">
        <v>209</v>
      </c>
      <c r="N167" s="92">
        <v>0</v>
      </c>
      <c r="O167" s="92">
        <v>0</v>
      </c>
      <c r="P167" s="92">
        <v>0</v>
      </c>
      <c r="Q167" s="92">
        <v>100</v>
      </c>
      <c r="R167" s="92" t="s">
        <v>209</v>
      </c>
      <c r="S167" s="92" t="s">
        <v>78</v>
      </c>
      <c r="T167" s="92" t="s">
        <v>209</v>
      </c>
      <c r="U167" s="92" t="s">
        <v>209</v>
      </c>
      <c r="V167" s="92"/>
      <c r="W167" s="132">
        <v>5</v>
      </c>
    </row>
    <row r="168" spans="1:23" hidden="1" x14ac:dyDescent="0.3">
      <c r="A168" s="113" t="s">
        <v>349</v>
      </c>
      <c r="B168" s="92">
        <v>38</v>
      </c>
      <c r="C168" s="114" t="s">
        <v>32</v>
      </c>
      <c r="D168" s="111">
        <v>6413</v>
      </c>
      <c r="E168" s="114" t="s">
        <v>241</v>
      </c>
      <c r="F168" s="92" t="s">
        <v>209</v>
      </c>
      <c r="G168" s="92" t="s">
        <v>201</v>
      </c>
      <c r="H168" s="92" t="s">
        <v>209</v>
      </c>
      <c r="I168" s="92" t="s">
        <v>201</v>
      </c>
      <c r="J168" s="92" t="s">
        <v>78</v>
      </c>
      <c r="K168" s="92" t="s">
        <v>201</v>
      </c>
      <c r="L168" s="92" t="s">
        <v>209</v>
      </c>
      <c r="M168" s="92" t="s">
        <v>201</v>
      </c>
      <c r="N168" s="92">
        <v>1</v>
      </c>
      <c r="O168" s="92">
        <v>3</v>
      </c>
      <c r="P168" s="92">
        <v>90</v>
      </c>
      <c r="Q168" s="92">
        <v>77</v>
      </c>
      <c r="R168" s="92" t="s">
        <v>209</v>
      </c>
      <c r="S168" s="92" t="s">
        <v>78</v>
      </c>
      <c r="T168" s="92" t="s">
        <v>209</v>
      </c>
      <c r="U168" s="92" t="s">
        <v>209</v>
      </c>
      <c r="V168" s="92" t="s">
        <v>545</v>
      </c>
      <c r="W168" s="132">
        <v>4</v>
      </c>
    </row>
    <row r="169" spans="1:23" hidden="1" x14ac:dyDescent="0.3">
      <c r="A169" s="115" t="s">
        <v>351</v>
      </c>
      <c r="B169" s="91">
        <v>38</v>
      </c>
      <c r="C169" s="116" t="s">
        <v>30</v>
      </c>
      <c r="D169" s="108">
        <v>10506</v>
      </c>
      <c r="E169" s="116" t="s">
        <v>239</v>
      </c>
      <c r="F169" s="91" t="s">
        <v>209</v>
      </c>
      <c r="G169" s="91" t="s">
        <v>201</v>
      </c>
      <c r="H169" s="91" t="s">
        <v>209</v>
      </c>
      <c r="I169" s="91" t="s">
        <v>209</v>
      </c>
      <c r="J169" s="91" t="s">
        <v>236</v>
      </c>
      <c r="K169" s="91" t="s">
        <v>209</v>
      </c>
      <c r="L169" s="91" t="s">
        <v>209</v>
      </c>
      <c r="M169" s="91" t="s">
        <v>209</v>
      </c>
      <c r="N169" s="91">
        <v>0</v>
      </c>
      <c r="O169" s="91">
        <v>0</v>
      </c>
      <c r="P169" s="91">
        <v>0</v>
      </c>
      <c r="Q169" s="91">
        <v>100</v>
      </c>
      <c r="R169" s="91" t="s">
        <v>209</v>
      </c>
      <c r="S169" s="91" t="s">
        <v>78</v>
      </c>
      <c r="T169" s="91" t="s">
        <v>209</v>
      </c>
      <c r="U169" s="91" t="s">
        <v>209</v>
      </c>
      <c r="V169" s="91" t="s">
        <v>546</v>
      </c>
      <c r="W169" s="129">
        <v>5</v>
      </c>
    </row>
    <row r="170" spans="1:23" x14ac:dyDescent="0.3">
      <c r="A170" s="113" t="s">
        <v>253</v>
      </c>
      <c r="B170" s="92">
        <v>45</v>
      </c>
      <c r="C170" s="114" t="s">
        <v>33</v>
      </c>
      <c r="D170" s="111">
        <v>60</v>
      </c>
      <c r="E170" s="114" t="s">
        <v>239</v>
      </c>
      <c r="F170" s="92" t="s">
        <v>209</v>
      </c>
      <c r="G170" s="92" t="s">
        <v>201</v>
      </c>
      <c r="H170" s="92" t="s">
        <v>209</v>
      </c>
      <c r="I170" s="92" t="s">
        <v>201</v>
      </c>
      <c r="J170" s="92" t="s">
        <v>78</v>
      </c>
      <c r="K170" s="92" t="s">
        <v>209</v>
      </c>
      <c r="L170" s="92" t="s">
        <v>209</v>
      </c>
      <c r="M170" s="92" t="s">
        <v>209</v>
      </c>
      <c r="N170" s="92">
        <v>12</v>
      </c>
      <c r="O170" s="92">
        <v>0</v>
      </c>
      <c r="P170" s="92">
        <v>15</v>
      </c>
      <c r="Q170" s="92">
        <v>30</v>
      </c>
      <c r="R170" s="92" t="s">
        <v>209</v>
      </c>
      <c r="S170" s="92" t="s">
        <v>78</v>
      </c>
      <c r="T170" s="92" t="s">
        <v>209</v>
      </c>
      <c r="U170" s="92" t="s">
        <v>209</v>
      </c>
      <c r="V170" s="92"/>
      <c r="W170" s="132">
        <v>3</v>
      </c>
    </row>
    <row r="171" spans="1:23" hidden="1" x14ac:dyDescent="0.3">
      <c r="A171" s="115" t="s">
        <v>356</v>
      </c>
      <c r="B171" s="91">
        <v>38</v>
      </c>
      <c r="C171" s="116" t="s">
        <v>32</v>
      </c>
      <c r="D171" s="108">
        <v>288</v>
      </c>
      <c r="E171" s="116" t="s">
        <v>241</v>
      </c>
      <c r="F171" s="91" t="s">
        <v>209</v>
      </c>
      <c r="G171" s="91" t="s">
        <v>201</v>
      </c>
      <c r="H171" s="91" t="s">
        <v>201</v>
      </c>
      <c r="I171" s="91" t="s">
        <v>201</v>
      </c>
      <c r="J171" s="91" t="s">
        <v>78</v>
      </c>
      <c r="K171" s="91" t="s">
        <v>209</v>
      </c>
      <c r="L171" s="91" t="s">
        <v>209</v>
      </c>
      <c r="M171" s="91" t="s">
        <v>209</v>
      </c>
      <c r="N171" s="91">
        <v>0</v>
      </c>
      <c r="O171" s="91">
        <v>0</v>
      </c>
      <c r="P171" s="91">
        <v>0</v>
      </c>
      <c r="Q171" s="91">
        <v>100</v>
      </c>
      <c r="R171" s="91" t="s">
        <v>209</v>
      </c>
      <c r="S171" s="91" t="s">
        <v>78</v>
      </c>
      <c r="T171" s="91" t="s">
        <v>209</v>
      </c>
      <c r="U171" s="91" t="s">
        <v>209</v>
      </c>
      <c r="V171" s="91" t="s">
        <v>547</v>
      </c>
      <c r="W171" s="129">
        <v>4</v>
      </c>
    </row>
    <row r="172" spans="1:23" x14ac:dyDescent="0.3">
      <c r="A172" s="115" t="s">
        <v>378</v>
      </c>
      <c r="B172" s="91">
        <v>46</v>
      </c>
      <c r="C172" s="116" t="s">
        <v>34</v>
      </c>
      <c r="D172" s="108">
        <v>2840</v>
      </c>
      <c r="E172" s="116" t="s">
        <v>239</v>
      </c>
      <c r="F172" s="91" t="s">
        <v>209</v>
      </c>
      <c r="G172" s="91" t="s">
        <v>209</v>
      </c>
      <c r="H172" s="91" t="s">
        <v>201</v>
      </c>
      <c r="I172" s="91" t="s">
        <v>201</v>
      </c>
      <c r="J172" s="91" t="s">
        <v>78</v>
      </c>
      <c r="K172" s="91" t="s">
        <v>201</v>
      </c>
      <c r="L172" s="91" t="s">
        <v>209</v>
      </c>
      <c r="M172" s="91" t="s">
        <v>209</v>
      </c>
      <c r="N172" s="91">
        <v>1</v>
      </c>
      <c r="O172" s="91">
        <v>12</v>
      </c>
      <c r="P172" s="91">
        <v>10</v>
      </c>
      <c r="Q172" s="91">
        <v>67</v>
      </c>
      <c r="R172" s="91" t="s">
        <v>209</v>
      </c>
      <c r="S172" s="91" t="s">
        <v>78</v>
      </c>
      <c r="T172" s="91" t="s">
        <v>209</v>
      </c>
      <c r="U172" s="91" t="s">
        <v>209</v>
      </c>
      <c r="V172" s="91" t="s">
        <v>590</v>
      </c>
      <c r="W172" s="129">
        <v>2</v>
      </c>
    </row>
    <row r="173" spans="1:23" x14ac:dyDescent="0.3">
      <c r="A173" s="113" t="s">
        <v>234</v>
      </c>
      <c r="B173" s="92">
        <v>46</v>
      </c>
      <c r="C173" s="114" t="s">
        <v>33</v>
      </c>
      <c r="D173" s="111">
        <v>4146</v>
      </c>
      <c r="E173" s="114" t="s">
        <v>235</v>
      </c>
      <c r="F173" s="92" t="s">
        <v>209</v>
      </c>
      <c r="G173" s="92" t="s">
        <v>209</v>
      </c>
      <c r="H173" s="92" t="s">
        <v>209</v>
      </c>
      <c r="I173" s="92" t="s">
        <v>209</v>
      </c>
      <c r="J173" s="92" t="s">
        <v>236</v>
      </c>
      <c r="K173" s="92" t="s">
        <v>201</v>
      </c>
      <c r="L173" s="92" t="s">
        <v>209</v>
      </c>
      <c r="M173" s="92" t="s">
        <v>209</v>
      </c>
      <c r="N173" s="92">
        <v>0</v>
      </c>
      <c r="O173" s="92">
        <v>0</v>
      </c>
      <c r="P173" s="92">
        <v>0</v>
      </c>
      <c r="Q173" s="92">
        <v>100</v>
      </c>
      <c r="R173" s="92" t="s">
        <v>201</v>
      </c>
      <c r="S173" s="92" t="s">
        <v>78</v>
      </c>
      <c r="T173" s="92" t="s">
        <v>209</v>
      </c>
      <c r="U173" s="92" t="s">
        <v>209</v>
      </c>
      <c r="V173" s="92"/>
      <c r="W173" s="132">
        <v>3</v>
      </c>
    </row>
    <row r="174" spans="1:23" x14ac:dyDescent="0.3">
      <c r="A174" s="113" t="s">
        <v>238</v>
      </c>
      <c r="B174" s="92">
        <v>48</v>
      </c>
      <c r="C174" s="114" t="s">
        <v>35</v>
      </c>
      <c r="D174" s="111">
        <v>4731</v>
      </c>
      <c r="E174" s="114" t="s">
        <v>241</v>
      </c>
      <c r="F174" s="92" t="s">
        <v>209</v>
      </c>
      <c r="G174" s="92" t="s">
        <v>201</v>
      </c>
      <c r="H174" s="92" t="s">
        <v>201</v>
      </c>
      <c r="I174" s="92" t="s">
        <v>201</v>
      </c>
      <c r="J174" s="92" t="s">
        <v>78</v>
      </c>
      <c r="K174" s="92" t="s">
        <v>201</v>
      </c>
      <c r="L174" s="92" t="s">
        <v>209</v>
      </c>
      <c r="M174" s="92" t="s">
        <v>209</v>
      </c>
      <c r="N174" s="92">
        <v>4</v>
      </c>
      <c r="O174" s="92">
        <v>3</v>
      </c>
      <c r="P174" s="92">
        <v>50</v>
      </c>
      <c r="Q174" s="92">
        <v>68</v>
      </c>
      <c r="R174" s="92" t="s">
        <v>209</v>
      </c>
      <c r="S174" s="92" t="s">
        <v>80</v>
      </c>
      <c r="T174" s="92" t="s">
        <v>209</v>
      </c>
      <c r="U174" s="92" t="s">
        <v>209</v>
      </c>
      <c r="V174" s="92"/>
      <c r="W174" s="132">
        <v>3</v>
      </c>
    </row>
    <row r="175" spans="1:23" hidden="1" x14ac:dyDescent="0.3">
      <c r="A175" s="115" t="s">
        <v>349</v>
      </c>
      <c r="B175" s="91">
        <v>39</v>
      </c>
      <c r="C175" s="116" t="s">
        <v>31</v>
      </c>
      <c r="D175" s="108">
        <v>3019</v>
      </c>
      <c r="E175" s="116" t="s">
        <v>241</v>
      </c>
      <c r="F175" s="91" t="s">
        <v>209</v>
      </c>
      <c r="G175" s="91" t="s">
        <v>201</v>
      </c>
      <c r="H175" s="91" t="s">
        <v>209</v>
      </c>
      <c r="I175" s="91" t="s">
        <v>209</v>
      </c>
      <c r="J175" s="91" t="s">
        <v>78</v>
      </c>
      <c r="K175" s="91" t="s">
        <v>201</v>
      </c>
      <c r="L175" s="91" t="s">
        <v>209</v>
      </c>
      <c r="M175" s="91" t="s">
        <v>209</v>
      </c>
      <c r="N175" s="91">
        <v>6</v>
      </c>
      <c r="O175" s="91">
        <v>9</v>
      </c>
      <c r="P175" s="91">
        <v>10</v>
      </c>
      <c r="Q175" s="91">
        <v>47</v>
      </c>
      <c r="R175" s="91" t="s">
        <v>209</v>
      </c>
      <c r="S175" s="91" t="s">
        <v>78</v>
      </c>
      <c r="T175" s="91" t="s">
        <v>209</v>
      </c>
      <c r="U175" s="91" t="s">
        <v>209</v>
      </c>
      <c r="V175" s="91" t="s">
        <v>549</v>
      </c>
      <c r="W175" s="129">
        <v>3</v>
      </c>
    </row>
    <row r="176" spans="1:23" hidden="1" x14ac:dyDescent="0.3">
      <c r="A176" s="113" t="s">
        <v>356</v>
      </c>
      <c r="B176" s="92">
        <v>39</v>
      </c>
      <c r="C176" s="114" t="s">
        <v>32</v>
      </c>
      <c r="D176" s="111">
        <v>2403</v>
      </c>
      <c r="E176" s="114" t="s">
        <v>241</v>
      </c>
      <c r="F176" s="92" t="s">
        <v>209</v>
      </c>
      <c r="G176" s="92" t="s">
        <v>201</v>
      </c>
      <c r="H176" s="92" t="s">
        <v>209</v>
      </c>
      <c r="I176" s="92" t="s">
        <v>209</v>
      </c>
      <c r="J176" s="92" t="s">
        <v>78</v>
      </c>
      <c r="K176" s="92" t="s">
        <v>201</v>
      </c>
      <c r="L176" s="92" t="s">
        <v>209</v>
      </c>
      <c r="M176" s="92" t="s">
        <v>209</v>
      </c>
      <c r="N176" s="92">
        <v>50</v>
      </c>
      <c r="O176" s="92">
        <v>0</v>
      </c>
      <c r="P176" s="92">
        <v>0</v>
      </c>
      <c r="Q176" s="92">
        <v>100</v>
      </c>
      <c r="R176" s="92" t="s">
        <v>209</v>
      </c>
      <c r="S176" s="92" t="s">
        <v>78</v>
      </c>
      <c r="T176" s="92" t="s">
        <v>209</v>
      </c>
      <c r="U176" s="92" t="s">
        <v>209</v>
      </c>
      <c r="V176" s="92" t="s">
        <v>550</v>
      </c>
      <c r="W176" s="132">
        <v>5</v>
      </c>
    </row>
    <row r="177" spans="1:23" hidden="1" x14ac:dyDescent="0.3">
      <c r="A177" s="115" t="s">
        <v>351</v>
      </c>
      <c r="B177" s="91">
        <v>39</v>
      </c>
      <c r="C177" s="116" t="s">
        <v>30</v>
      </c>
      <c r="D177" s="108">
        <v>5577</v>
      </c>
      <c r="E177" s="116" t="s">
        <v>239</v>
      </c>
      <c r="F177" s="91" t="s">
        <v>209</v>
      </c>
      <c r="G177" s="91" t="s">
        <v>201</v>
      </c>
      <c r="H177" s="91" t="s">
        <v>201</v>
      </c>
      <c r="I177" s="91" t="s">
        <v>209</v>
      </c>
      <c r="J177" s="91" t="s">
        <v>236</v>
      </c>
      <c r="K177" s="91" t="s">
        <v>209</v>
      </c>
      <c r="L177" s="91" t="s">
        <v>209</v>
      </c>
      <c r="M177" s="91" t="s">
        <v>209</v>
      </c>
      <c r="N177" s="91">
        <v>15</v>
      </c>
      <c r="O177" s="91">
        <v>0</v>
      </c>
      <c r="P177" s="91">
        <v>0</v>
      </c>
      <c r="Q177" s="91">
        <v>95</v>
      </c>
      <c r="R177" s="91" t="s">
        <v>201</v>
      </c>
      <c r="S177" s="91" t="s">
        <v>80</v>
      </c>
      <c r="T177" s="91" t="s">
        <v>209</v>
      </c>
      <c r="U177" s="91" t="s">
        <v>209</v>
      </c>
      <c r="V177" s="91" t="s">
        <v>551</v>
      </c>
      <c r="W177" s="129">
        <v>4</v>
      </c>
    </row>
    <row r="178" spans="1:23" x14ac:dyDescent="0.3">
      <c r="A178" s="115" t="s">
        <v>253</v>
      </c>
      <c r="B178" s="91">
        <v>48</v>
      </c>
      <c r="C178" s="116" t="s">
        <v>33</v>
      </c>
      <c r="D178" s="108">
        <v>9501</v>
      </c>
      <c r="E178" s="116" t="s">
        <v>235</v>
      </c>
      <c r="F178" s="91" t="s">
        <v>209</v>
      </c>
      <c r="G178" s="91" t="s">
        <v>201</v>
      </c>
      <c r="H178" s="91" t="s">
        <v>201</v>
      </c>
      <c r="I178" s="91" t="s">
        <v>201</v>
      </c>
      <c r="J178" s="91" t="s">
        <v>78</v>
      </c>
      <c r="K178" s="91" t="s">
        <v>201</v>
      </c>
      <c r="L178" s="91" t="s">
        <v>209</v>
      </c>
      <c r="M178" s="91" t="s">
        <v>209</v>
      </c>
      <c r="N178" s="91">
        <v>6</v>
      </c>
      <c r="O178" s="91">
        <v>0</v>
      </c>
      <c r="P178" s="91">
        <v>75</v>
      </c>
      <c r="Q178" s="91">
        <v>100</v>
      </c>
      <c r="R178" s="91" t="s">
        <v>209</v>
      </c>
      <c r="S178" s="91" t="s">
        <v>78</v>
      </c>
      <c r="T178" s="91" t="s">
        <v>201</v>
      </c>
      <c r="U178" s="91" t="s">
        <v>209</v>
      </c>
      <c r="V178" s="91" t="s">
        <v>596</v>
      </c>
      <c r="W178" s="129">
        <v>5</v>
      </c>
    </row>
    <row r="179" spans="1:23" hidden="1" x14ac:dyDescent="0.3">
      <c r="A179" s="115" t="s">
        <v>349</v>
      </c>
      <c r="B179" s="91">
        <v>40</v>
      </c>
      <c r="C179" s="116" t="s">
        <v>31</v>
      </c>
      <c r="D179" s="108">
        <v>987</v>
      </c>
      <c r="E179" s="116" t="s">
        <v>241</v>
      </c>
      <c r="F179" s="91" t="s">
        <v>209</v>
      </c>
      <c r="G179" s="91" t="s">
        <v>201</v>
      </c>
      <c r="H179" s="91" t="s">
        <v>201</v>
      </c>
      <c r="I179" s="91" t="s">
        <v>201</v>
      </c>
      <c r="J179" s="91" t="s">
        <v>78</v>
      </c>
      <c r="K179" s="91" t="s">
        <v>209</v>
      </c>
      <c r="L179" s="91" t="s">
        <v>209</v>
      </c>
      <c r="M179" s="91" t="s">
        <v>209</v>
      </c>
      <c r="N179" s="91">
        <v>0</v>
      </c>
      <c r="O179" s="91">
        <v>0</v>
      </c>
      <c r="P179" s="91">
        <v>0</v>
      </c>
      <c r="Q179" s="91">
        <v>100</v>
      </c>
      <c r="R179" s="91" t="s">
        <v>209</v>
      </c>
      <c r="S179" s="91">
        <v>2</v>
      </c>
      <c r="T179" s="91" t="s">
        <v>209</v>
      </c>
      <c r="U179" s="91" t="s">
        <v>209</v>
      </c>
      <c r="V179" s="91" t="s">
        <v>552</v>
      </c>
      <c r="W179" s="129"/>
    </row>
    <row r="180" spans="1:23" x14ac:dyDescent="0.3">
      <c r="A180" s="113" t="s">
        <v>258</v>
      </c>
      <c r="B180" s="92">
        <v>48</v>
      </c>
      <c r="C180" s="114" t="s">
        <v>34</v>
      </c>
      <c r="D180" s="111">
        <v>3216</v>
      </c>
      <c r="E180" s="114" t="s">
        <v>239</v>
      </c>
      <c r="F180" s="92" t="s">
        <v>209</v>
      </c>
      <c r="G180" s="92" t="s">
        <v>201</v>
      </c>
      <c r="H180" s="92" t="s">
        <v>201</v>
      </c>
      <c r="I180" s="92" t="s">
        <v>201</v>
      </c>
      <c r="J180" s="92" t="s">
        <v>78</v>
      </c>
      <c r="K180" s="92" t="s">
        <v>201</v>
      </c>
      <c r="L180" s="92" t="s">
        <v>209</v>
      </c>
      <c r="M180" s="92" t="s">
        <v>209</v>
      </c>
      <c r="N180" s="92">
        <v>0</v>
      </c>
      <c r="O180" s="92">
        <v>0</v>
      </c>
      <c r="P180" s="92">
        <v>110</v>
      </c>
      <c r="Q180" s="92">
        <v>70</v>
      </c>
      <c r="R180" s="92" t="s">
        <v>209</v>
      </c>
      <c r="S180" s="92" t="s">
        <v>78</v>
      </c>
      <c r="T180" s="92" t="s">
        <v>209</v>
      </c>
      <c r="U180" s="92" t="s">
        <v>209</v>
      </c>
      <c r="V180" s="92"/>
      <c r="W180" s="132">
        <v>5</v>
      </c>
    </row>
    <row r="181" spans="1:23" hidden="1" x14ac:dyDescent="0.3">
      <c r="A181" s="115" t="s">
        <v>349</v>
      </c>
      <c r="B181" s="91">
        <v>41</v>
      </c>
      <c r="C181" s="116" t="s">
        <v>31</v>
      </c>
      <c r="D181" s="108">
        <v>10980</v>
      </c>
      <c r="E181" s="116" t="s">
        <v>241</v>
      </c>
      <c r="F181" s="91" t="s">
        <v>209</v>
      </c>
      <c r="G181" s="91" t="s">
        <v>201</v>
      </c>
      <c r="H181" s="91" t="s">
        <v>201</v>
      </c>
      <c r="I181" s="91" t="s">
        <v>201</v>
      </c>
      <c r="J181" s="91" t="s">
        <v>78</v>
      </c>
      <c r="K181" s="91" t="s">
        <v>201</v>
      </c>
      <c r="L181" s="91" t="s">
        <v>209</v>
      </c>
      <c r="M181" s="91" t="s">
        <v>209</v>
      </c>
      <c r="N181" s="91">
        <v>0</v>
      </c>
      <c r="O181" s="91">
        <v>0</v>
      </c>
      <c r="P181" s="91">
        <v>75</v>
      </c>
      <c r="Q181" s="91">
        <v>93</v>
      </c>
      <c r="R181" s="91" t="s">
        <v>209</v>
      </c>
      <c r="S181" s="91" t="s">
        <v>78</v>
      </c>
      <c r="T181" s="91" t="s">
        <v>209</v>
      </c>
      <c r="U181" s="91" t="s">
        <v>209</v>
      </c>
      <c r="V181" s="91" t="s">
        <v>554</v>
      </c>
      <c r="W181" s="129">
        <v>4</v>
      </c>
    </row>
    <row r="182" spans="1:23" hidden="1" x14ac:dyDescent="0.3">
      <c r="A182" s="113" t="s">
        <v>356</v>
      </c>
      <c r="B182" s="92">
        <v>41</v>
      </c>
      <c r="C182" s="114" t="s">
        <v>32</v>
      </c>
      <c r="D182" s="111">
        <v>8012</v>
      </c>
      <c r="E182" s="114" t="s">
        <v>241</v>
      </c>
      <c r="F182" s="92" t="s">
        <v>209</v>
      </c>
      <c r="G182" s="92" t="s">
        <v>201</v>
      </c>
      <c r="H182" s="92" t="s">
        <v>209</v>
      </c>
      <c r="I182" s="92" t="s">
        <v>209</v>
      </c>
      <c r="J182" s="92" t="s">
        <v>78</v>
      </c>
      <c r="K182" s="92" t="s">
        <v>201</v>
      </c>
      <c r="L182" s="92" t="s">
        <v>209</v>
      </c>
      <c r="M182" s="92" t="s">
        <v>209</v>
      </c>
      <c r="N182" s="92">
        <v>1</v>
      </c>
      <c r="O182" s="92">
        <v>0</v>
      </c>
      <c r="P182" s="92">
        <v>0</v>
      </c>
      <c r="Q182" s="92">
        <v>100</v>
      </c>
      <c r="R182" s="92" t="s">
        <v>209</v>
      </c>
      <c r="S182" s="92" t="s">
        <v>78</v>
      </c>
      <c r="T182" s="92" t="s">
        <v>209</v>
      </c>
      <c r="U182" s="92" t="s">
        <v>209</v>
      </c>
      <c r="V182" s="92" t="s">
        <v>555</v>
      </c>
      <c r="W182" s="132">
        <v>3</v>
      </c>
    </row>
    <row r="183" spans="1:23" hidden="1" x14ac:dyDescent="0.3">
      <c r="A183" s="115" t="s">
        <v>351</v>
      </c>
      <c r="B183" s="91">
        <v>41</v>
      </c>
      <c r="C183" s="116" t="s">
        <v>30</v>
      </c>
      <c r="D183" s="108">
        <v>1410</v>
      </c>
      <c r="E183" s="116" t="s">
        <v>239</v>
      </c>
      <c r="F183" s="91" t="s">
        <v>209</v>
      </c>
      <c r="G183" s="91" t="s">
        <v>201</v>
      </c>
      <c r="H183" s="91" t="s">
        <v>201</v>
      </c>
      <c r="I183" s="91" t="s">
        <v>209</v>
      </c>
      <c r="J183" s="91" t="s">
        <v>236</v>
      </c>
      <c r="K183" s="91" t="s">
        <v>209</v>
      </c>
      <c r="L183" s="91" t="s">
        <v>209</v>
      </c>
      <c r="M183" s="91" t="s">
        <v>209</v>
      </c>
      <c r="N183" s="91">
        <v>0</v>
      </c>
      <c r="O183" s="91">
        <v>0</v>
      </c>
      <c r="P183" s="91">
        <v>0</v>
      </c>
      <c r="Q183" s="91">
        <v>100</v>
      </c>
      <c r="R183" s="91" t="s">
        <v>209</v>
      </c>
      <c r="S183" s="91" t="s">
        <v>78</v>
      </c>
      <c r="T183" s="91" t="s">
        <v>209</v>
      </c>
      <c r="U183" s="91" t="s">
        <v>209</v>
      </c>
      <c r="V183" s="91"/>
      <c r="W183" s="129">
        <v>4</v>
      </c>
    </row>
    <row r="184" spans="1:23" x14ac:dyDescent="0.3">
      <c r="A184" s="115" t="s">
        <v>256</v>
      </c>
      <c r="B184" s="91">
        <v>49</v>
      </c>
      <c r="C184" s="116" t="s">
        <v>31</v>
      </c>
      <c r="D184" s="108">
        <v>7333</v>
      </c>
      <c r="E184" s="116" t="s">
        <v>239</v>
      </c>
      <c r="F184" s="91" t="s">
        <v>209</v>
      </c>
      <c r="G184" s="91" t="s">
        <v>201</v>
      </c>
      <c r="H184" s="91" t="s">
        <v>201</v>
      </c>
      <c r="I184" s="91" t="s">
        <v>209</v>
      </c>
      <c r="J184" s="91" t="s">
        <v>78</v>
      </c>
      <c r="K184" s="91" t="s">
        <v>201</v>
      </c>
      <c r="L184" s="91" t="s">
        <v>209</v>
      </c>
      <c r="M184" s="91" t="s">
        <v>209</v>
      </c>
      <c r="N184" s="91">
        <v>4</v>
      </c>
      <c r="O184" s="91">
        <v>3</v>
      </c>
      <c r="P184" s="91">
        <v>40</v>
      </c>
      <c r="Q184" s="91">
        <v>80</v>
      </c>
      <c r="R184" s="91" t="s">
        <v>209</v>
      </c>
      <c r="S184" s="91" t="s">
        <v>78</v>
      </c>
      <c r="T184" s="91" t="s">
        <v>209</v>
      </c>
      <c r="U184" s="91" t="s">
        <v>209</v>
      </c>
      <c r="V184" s="91"/>
      <c r="W184" s="129">
        <v>5</v>
      </c>
    </row>
    <row r="185" spans="1:23" hidden="1" x14ac:dyDescent="0.3">
      <c r="A185" s="115" t="s">
        <v>351</v>
      </c>
      <c r="B185" s="91">
        <v>42</v>
      </c>
      <c r="C185" s="116" t="s">
        <v>30</v>
      </c>
      <c r="D185" s="108">
        <v>3216</v>
      </c>
      <c r="E185" s="116" t="s">
        <v>241</v>
      </c>
      <c r="F185" s="91" t="s">
        <v>209</v>
      </c>
      <c r="G185" s="91" t="s">
        <v>201</v>
      </c>
      <c r="H185" s="91" t="s">
        <v>201</v>
      </c>
      <c r="I185" s="91" t="s">
        <v>201</v>
      </c>
      <c r="J185" s="91" t="s">
        <v>236</v>
      </c>
      <c r="K185" s="91" t="s">
        <v>209</v>
      </c>
      <c r="L185" s="91" t="s">
        <v>209</v>
      </c>
      <c r="M185" s="91" t="s">
        <v>209</v>
      </c>
      <c r="N185" s="91">
        <v>40</v>
      </c>
      <c r="O185" s="91">
        <v>0</v>
      </c>
      <c r="P185" s="91">
        <v>0</v>
      </c>
      <c r="Q185" s="91">
        <v>95</v>
      </c>
      <c r="R185" s="91" t="s">
        <v>201</v>
      </c>
      <c r="S185" s="91" t="s">
        <v>78</v>
      </c>
      <c r="T185" s="91" t="s">
        <v>209</v>
      </c>
      <c r="U185" s="91" t="s">
        <v>209</v>
      </c>
      <c r="V185" s="91" t="s">
        <v>556</v>
      </c>
      <c r="W185" s="129">
        <v>4</v>
      </c>
    </row>
    <row r="186" spans="1:23" hidden="1" x14ac:dyDescent="0.3">
      <c r="A186" s="113" t="s">
        <v>349</v>
      </c>
      <c r="B186" s="92">
        <v>42</v>
      </c>
      <c r="C186" s="114" t="s">
        <v>31</v>
      </c>
      <c r="D186" s="111">
        <v>1165</v>
      </c>
      <c r="E186" s="114" t="s">
        <v>241</v>
      </c>
      <c r="F186" s="92" t="s">
        <v>209</v>
      </c>
      <c r="G186" s="92" t="s">
        <v>201</v>
      </c>
      <c r="H186" s="92" t="s">
        <v>209</v>
      </c>
      <c r="I186" s="92" t="s">
        <v>209</v>
      </c>
      <c r="J186" s="92" t="s">
        <v>78</v>
      </c>
      <c r="K186" s="92" t="s">
        <v>201</v>
      </c>
      <c r="L186" s="92" t="s">
        <v>209</v>
      </c>
      <c r="M186" s="92" t="s">
        <v>209</v>
      </c>
      <c r="N186" s="92">
        <v>0</v>
      </c>
      <c r="O186" s="92">
        <v>3</v>
      </c>
      <c r="P186" s="92">
        <v>0</v>
      </c>
      <c r="Q186" s="92">
        <v>1</v>
      </c>
      <c r="R186" s="92" t="s">
        <v>209</v>
      </c>
      <c r="S186" s="92" t="s">
        <v>78</v>
      </c>
      <c r="T186" s="92" t="s">
        <v>209</v>
      </c>
      <c r="U186" s="92" t="s">
        <v>209</v>
      </c>
      <c r="V186" s="92" t="s">
        <v>557</v>
      </c>
      <c r="W186" s="132">
        <v>1</v>
      </c>
    </row>
    <row r="187" spans="1:23" hidden="1" x14ac:dyDescent="0.3">
      <c r="A187" s="115" t="s">
        <v>356</v>
      </c>
      <c r="B187" s="91">
        <v>42</v>
      </c>
      <c r="C187" s="116" t="s">
        <v>32</v>
      </c>
      <c r="D187" s="108">
        <v>10905</v>
      </c>
      <c r="E187" s="116" t="s">
        <v>241</v>
      </c>
      <c r="F187" s="91" t="s">
        <v>209</v>
      </c>
      <c r="G187" s="91" t="s">
        <v>209</v>
      </c>
      <c r="H187" s="91" t="s">
        <v>209</v>
      </c>
      <c r="I187" s="91" t="s">
        <v>209</v>
      </c>
      <c r="J187" s="91"/>
      <c r="K187" s="91" t="s">
        <v>209</v>
      </c>
      <c r="L187" s="91" t="s">
        <v>209</v>
      </c>
      <c r="M187" s="91" t="s">
        <v>209</v>
      </c>
      <c r="N187" s="91">
        <v>0</v>
      </c>
      <c r="O187" s="91">
        <v>0</v>
      </c>
      <c r="P187" s="91">
        <v>0</v>
      </c>
      <c r="Q187" s="91">
        <v>100</v>
      </c>
      <c r="R187" s="91" t="s">
        <v>201</v>
      </c>
      <c r="S187" s="91" t="s">
        <v>78</v>
      </c>
      <c r="T187" s="91" t="s">
        <v>209</v>
      </c>
      <c r="U187" s="91" t="s">
        <v>209</v>
      </c>
      <c r="V187" s="91" t="s">
        <v>558</v>
      </c>
      <c r="W187" s="129">
        <v>5</v>
      </c>
    </row>
    <row r="188" spans="1:23" x14ac:dyDescent="0.3">
      <c r="A188" s="113" t="s">
        <v>280</v>
      </c>
      <c r="B188" s="92">
        <v>50</v>
      </c>
      <c r="C188" s="114" t="s">
        <v>33</v>
      </c>
      <c r="D188" s="111">
        <v>1828</v>
      </c>
      <c r="E188" s="114" t="s">
        <v>241</v>
      </c>
      <c r="F188" s="92" t="s">
        <v>209</v>
      </c>
      <c r="G188" s="92" t="s">
        <v>209</v>
      </c>
      <c r="H188" s="92" t="s">
        <v>209</v>
      </c>
      <c r="I188" s="92" t="s">
        <v>209</v>
      </c>
      <c r="J188" s="92" t="s">
        <v>78</v>
      </c>
      <c r="K188" s="92" t="s">
        <v>209</v>
      </c>
      <c r="L188" s="92" t="s">
        <v>209</v>
      </c>
      <c r="M188" s="92" t="s">
        <v>209</v>
      </c>
      <c r="N188" s="92">
        <v>0</v>
      </c>
      <c r="O188" s="92">
        <v>0</v>
      </c>
      <c r="P188" s="92">
        <v>0</v>
      </c>
      <c r="Q188" s="92">
        <v>100</v>
      </c>
      <c r="R188" s="92" t="s">
        <v>201</v>
      </c>
      <c r="S188" s="92" t="s">
        <v>78</v>
      </c>
      <c r="T188" s="92" t="s">
        <v>201</v>
      </c>
      <c r="U188" s="92" t="s">
        <v>209</v>
      </c>
      <c r="V188" s="92" t="s">
        <v>599</v>
      </c>
      <c r="W188" s="132">
        <v>3</v>
      </c>
    </row>
    <row r="189" spans="1:23" x14ac:dyDescent="0.3">
      <c r="A189" s="113" t="s">
        <v>234</v>
      </c>
      <c r="B189" s="92">
        <v>51</v>
      </c>
      <c r="C189" s="114" t="s">
        <v>34</v>
      </c>
      <c r="D189" s="111">
        <v>996</v>
      </c>
      <c r="E189" s="114" t="s">
        <v>235</v>
      </c>
      <c r="F189" s="92" t="s">
        <v>209</v>
      </c>
      <c r="G189" s="92" t="s">
        <v>209</v>
      </c>
      <c r="H189" s="92" t="s">
        <v>209</v>
      </c>
      <c r="I189" s="92" t="s">
        <v>209</v>
      </c>
      <c r="J189" s="92" t="s">
        <v>236</v>
      </c>
      <c r="K189" s="92" t="s">
        <v>209</v>
      </c>
      <c r="L189" s="92" t="s">
        <v>209</v>
      </c>
      <c r="M189" s="92" t="s">
        <v>209</v>
      </c>
      <c r="N189" s="92">
        <v>0</v>
      </c>
      <c r="O189" s="92">
        <v>0</v>
      </c>
      <c r="P189" s="92">
        <v>0</v>
      </c>
      <c r="Q189" s="92">
        <v>100</v>
      </c>
      <c r="R189" s="92" t="s">
        <v>201</v>
      </c>
      <c r="S189" s="92" t="s">
        <v>78</v>
      </c>
      <c r="T189" s="92" t="s">
        <v>209</v>
      </c>
      <c r="U189" s="92" t="s">
        <v>209</v>
      </c>
      <c r="V189" s="92"/>
      <c r="W189" s="132">
        <v>4</v>
      </c>
    </row>
    <row r="190" spans="1:23" x14ac:dyDescent="0.3">
      <c r="A190" s="115" t="s">
        <v>234</v>
      </c>
      <c r="B190" s="91">
        <v>51</v>
      </c>
      <c r="C190" s="116" t="s">
        <v>32</v>
      </c>
      <c r="D190" s="108">
        <v>10183</v>
      </c>
      <c r="E190" s="116" t="s">
        <v>235</v>
      </c>
      <c r="F190" s="91" t="s">
        <v>209</v>
      </c>
      <c r="G190" s="91" t="s">
        <v>201</v>
      </c>
      <c r="H190" s="91" t="s">
        <v>201</v>
      </c>
      <c r="I190" s="91" t="s">
        <v>201</v>
      </c>
      <c r="J190" s="91" t="s">
        <v>236</v>
      </c>
      <c r="K190" s="91" t="s">
        <v>201</v>
      </c>
      <c r="L190" s="91" t="s">
        <v>209</v>
      </c>
      <c r="M190" s="91" t="s">
        <v>201</v>
      </c>
      <c r="N190" s="91">
        <v>0</v>
      </c>
      <c r="O190" s="91">
        <v>12</v>
      </c>
      <c r="P190" s="91">
        <v>65</v>
      </c>
      <c r="Q190" s="91">
        <v>78</v>
      </c>
      <c r="R190" s="91" t="s">
        <v>201</v>
      </c>
      <c r="S190" s="91" t="s">
        <v>78</v>
      </c>
      <c r="T190" s="91" t="s">
        <v>209</v>
      </c>
      <c r="U190" s="91" t="s">
        <v>209</v>
      </c>
      <c r="V190" s="91"/>
      <c r="W190" s="129">
        <v>4</v>
      </c>
    </row>
    <row r="191" spans="1:23" hidden="1" x14ac:dyDescent="0.3">
      <c r="A191" s="115" t="s">
        <v>349</v>
      </c>
      <c r="B191" s="91">
        <v>43</v>
      </c>
      <c r="C191" s="116" t="s">
        <v>31</v>
      </c>
      <c r="D191" s="108">
        <v>991</v>
      </c>
      <c r="E191" s="116" t="s">
        <v>241</v>
      </c>
      <c r="F191" s="91" t="s">
        <v>209</v>
      </c>
      <c r="G191" s="91" t="s">
        <v>201</v>
      </c>
      <c r="H191" s="91" t="s">
        <v>201</v>
      </c>
      <c r="I191" s="91" t="s">
        <v>201</v>
      </c>
      <c r="J191" s="91" t="s">
        <v>78</v>
      </c>
      <c r="K191" s="91" t="s">
        <v>201</v>
      </c>
      <c r="L191" s="91" t="s">
        <v>209</v>
      </c>
      <c r="M191" s="91" t="s">
        <v>209</v>
      </c>
      <c r="N191" s="91">
        <v>1</v>
      </c>
      <c r="O191" s="91">
        <v>3</v>
      </c>
      <c r="P191" s="91">
        <v>25</v>
      </c>
      <c r="Q191" s="91">
        <v>100</v>
      </c>
      <c r="R191" s="91" t="s">
        <v>209</v>
      </c>
      <c r="S191" s="91" t="s">
        <v>78</v>
      </c>
      <c r="T191" s="91" t="s">
        <v>209</v>
      </c>
      <c r="U191" s="91" t="s">
        <v>209</v>
      </c>
      <c r="V191" s="91" t="s">
        <v>559</v>
      </c>
      <c r="W191" s="129">
        <v>5</v>
      </c>
    </row>
    <row r="192" spans="1:23" hidden="1" x14ac:dyDescent="0.3">
      <c r="A192" s="113" t="s">
        <v>356</v>
      </c>
      <c r="B192" s="92">
        <v>43</v>
      </c>
      <c r="C192" s="114" t="s">
        <v>32</v>
      </c>
      <c r="D192" s="111">
        <v>9091</v>
      </c>
      <c r="E192" s="114" t="s">
        <v>241</v>
      </c>
      <c r="F192" s="92" t="s">
        <v>209</v>
      </c>
      <c r="G192" s="92" t="s">
        <v>201</v>
      </c>
      <c r="H192" s="92" t="s">
        <v>209</v>
      </c>
      <c r="I192" s="92" t="s">
        <v>209</v>
      </c>
      <c r="J192" s="92" t="s">
        <v>78</v>
      </c>
      <c r="K192" s="92" t="s">
        <v>209</v>
      </c>
      <c r="L192" s="92" t="s">
        <v>209</v>
      </c>
      <c r="M192" s="92" t="s">
        <v>209</v>
      </c>
      <c r="N192" s="92">
        <v>0</v>
      </c>
      <c r="O192" s="92">
        <v>0</v>
      </c>
      <c r="P192" s="92">
        <v>0</v>
      </c>
      <c r="Q192" s="92">
        <v>100</v>
      </c>
      <c r="R192" s="92" t="s">
        <v>209</v>
      </c>
      <c r="S192" s="92" t="s">
        <v>78</v>
      </c>
      <c r="T192" s="92" t="s">
        <v>209</v>
      </c>
      <c r="U192" s="92" t="s">
        <v>209</v>
      </c>
      <c r="V192" s="92" t="s">
        <v>560</v>
      </c>
      <c r="W192" s="132">
        <v>1</v>
      </c>
    </row>
    <row r="193" spans="1:23" hidden="1" x14ac:dyDescent="0.3">
      <c r="A193" s="115" t="s">
        <v>349</v>
      </c>
      <c r="B193" s="91">
        <v>44</v>
      </c>
      <c r="C193" s="116" t="s">
        <v>31</v>
      </c>
      <c r="D193" s="108">
        <v>9777</v>
      </c>
      <c r="E193" s="116" t="s">
        <v>241</v>
      </c>
      <c r="F193" s="91" t="s">
        <v>209</v>
      </c>
      <c r="G193" s="91" t="s">
        <v>201</v>
      </c>
      <c r="H193" s="91" t="s">
        <v>209</v>
      </c>
      <c r="I193" s="91" t="s">
        <v>201</v>
      </c>
      <c r="J193" s="91" t="s">
        <v>78</v>
      </c>
      <c r="K193" s="91" t="s">
        <v>201</v>
      </c>
      <c r="L193" s="91" t="s">
        <v>209</v>
      </c>
      <c r="M193" s="91" t="s">
        <v>209</v>
      </c>
      <c r="N193" s="91">
        <v>3</v>
      </c>
      <c r="O193" s="91">
        <v>9</v>
      </c>
      <c r="P193" s="91">
        <v>15</v>
      </c>
      <c r="Q193" s="91">
        <v>15</v>
      </c>
      <c r="R193" s="91" t="s">
        <v>209</v>
      </c>
      <c r="S193" s="91" t="s">
        <v>78</v>
      </c>
      <c r="T193" s="91" t="s">
        <v>209</v>
      </c>
      <c r="U193" s="91" t="s">
        <v>209</v>
      </c>
      <c r="V193" s="91" t="s">
        <v>577</v>
      </c>
      <c r="W193" s="129">
        <v>5</v>
      </c>
    </row>
    <row r="194" spans="1:23" x14ac:dyDescent="0.3">
      <c r="A194" s="113" t="s">
        <v>280</v>
      </c>
      <c r="B194" s="92">
        <v>51</v>
      </c>
      <c r="C194" s="114" t="s">
        <v>33</v>
      </c>
      <c r="D194" s="111">
        <v>2478</v>
      </c>
      <c r="E194" s="114" t="s">
        <v>239</v>
      </c>
      <c r="F194" s="92" t="s">
        <v>209</v>
      </c>
      <c r="G194" s="92" t="s">
        <v>201</v>
      </c>
      <c r="H194" s="92" t="s">
        <v>201</v>
      </c>
      <c r="I194" s="92" t="s">
        <v>209</v>
      </c>
      <c r="J194" s="92" t="s">
        <v>78</v>
      </c>
      <c r="K194" s="92" t="s">
        <v>209</v>
      </c>
      <c r="L194" s="92" t="s">
        <v>209</v>
      </c>
      <c r="M194" s="92" t="s">
        <v>209</v>
      </c>
      <c r="N194" s="92">
        <v>0</v>
      </c>
      <c r="O194" s="92">
        <v>3</v>
      </c>
      <c r="P194" s="92">
        <v>40</v>
      </c>
      <c r="Q194" s="92">
        <v>50</v>
      </c>
      <c r="R194" s="92" t="s">
        <v>209</v>
      </c>
      <c r="S194" s="92" t="s">
        <v>78</v>
      </c>
      <c r="T194" s="92" t="s">
        <v>209</v>
      </c>
      <c r="U194" s="92" t="s">
        <v>209</v>
      </c>
      <c r="V194" s="92"/>
      <c r="W194" s="132">
        <v>2</v>
      </c>
    </row>
    <row r="195" spans="1:23" hidden="1" x14ac:dyDescent="0.3">
      <c r="A195" s="115" t="s">
        <v>349</v>
      </c>
      <c r="B195" s="91">
        <v>45</v>
      </c>
      <c r="C195" s="116" t="s">
        <v>31</v>
      </c>
      <c r="D195" s="108">
        <v>9704</v>
      </c>
      <c r="E195" s="116" t="s">
        <v>241</v>
      </c>
      <c r="F195" s="91" t="s">
        <v>209</v>
      </c>
      <c r="G195" s="91" t="s">
        <v>201</v>
      </c>
      <c r="H195" s="91" t="s">
        <v>209</v>
      </c>
      <c r="I195" s="91" t="s">
        <v>209</v>
      </c>
      <c r="J195" s="91" t="s">
        <v>78</v>
      </c>
      <c r="K195" s="91" t="s">
        <v>209</v>
      </c>
      <c r="L195" s="91" t="s">
        <v>209</v>
      </c>
      <c r="M195" s="91" t="s">
        <v>209</v>
      </c>
      <c r="N195" s="91">
        <v>0</v>
      </c>
      <c r="O195" s="91">
        <v>0</v>
      </c>
      <c r="P195" s="91">
        <v>0</v>
      </c>
      <c r="Q195" s="91">
        <v>100</v>
      </c>
      <c r="R195" s="91" t="s">
        <v>209</v>
      </c>
      <c r="S195" s="91" t="s">
        <v>78</v>
      </c>
      <c r="T195" s="91" t="s">
        <v>209</v>
      </c>
      <c r="U195" s="91" t="s">
        <v>209</v>
      </c>
      <c r="V195" s="91" t="s">
        <v>524</v>
      </c>
      <c r="W195" s="129">
        <v>1</v>
      </c>
    </row>
    <row r="196" spans="1:23" hidden="1" x14ac:dyDescent="0.3">
      <c r="A196" s="113" t="s">
        <v>356</v>
      </c>
      <c r="B196" s="92">
        <v>45</v>
      </c>
      <c r="C196" s="114" t="s">
        <v>32</v>
      </c>
      <c r="D196" s="111">
        <v>10380</v>
      </c>
      <c r="E196" s="114" t="s">
        <v>241</v>
      </c>
      <c r="F196" s="92" t="s">
        <v>209</v>
      </c>
      <c r="G196" s="92" t="s">
        <v>201</v>
      </c>
      <c r="H196" s="92" t="s">
        <v>201</v>
      </c>
      <c r="I196" s="92" t="s">
        <v>201</v>
      </c>
      <c r="J196" s="92" t="s">
        <v>15</v>
      </c>
      <c r="K196" s="92" t="s">
        <v>201</v>
      </c>
      <c r="L196" s="92" t="s">
        <v>209</v>
      </c>
      <c r="M196" s="92" t="s">
        <v>209</v>
      </c>
      <c r="N196" s="92">
        <v>121</v>
      </c>
      <c r="O196" s="92">
        <v>0</v>
      </c>
      <c r="P196" s="92">
        <v>0</v>
      </c>
      <c r="Q196" s="92">
        <v>94</v>
      </c>
      <c r="R196" s="92" t="s">
        <v>209</v>
      </c>
      <c r="S196" s="92" t="s">
        <v>78</v>
      </c>
      <c r="T196" s="92" t="s">
        <v>209</v>
      </c>
      <c r="U196" s="92" t="s">
        <v>209</v>
      </c>
      <c r="V196" s="92" t="s">
        <v>589</v>
      </c>
      <c r="W196" s="132">
        <v>5</v>
      </c>
    </row>
    <row r="197" spans="1:23" hidden="1" x14ac:dyDescent="0.3">
      <c r="A197" s="115" t="s">
        <v>351</v>
      </c>
      <c r="B197" s="91">
        <v>45</v>
      </c>
      <c r="C197" s="116" t="s">
        <v>30</v>
      </c>
      <c r="D197" s="108">
        <v>10114</v>
      </c>
      <c r="E197" s="116" t="s">
        <v>241</v>
      </c>
      <c r="F197" s="91" t="s">
        <v>209</v>
      </c>
      <c r="G197" s="91" t="s">
        <v>209</v>
      </c>
      <c r="H197" s="91" t="s">
        <v>209</v>
      </c>
      <c r="I197" s="91" t="s">
        <v>209</v>
      </c>
      <c r="J197" s="91" t="s">
        <v>236</v>
      </c>
      <c r="K197" s="91" t="s">
        <v>209</v>
      </c>
      <c r="L197" s="91" t="s">
        <v>209</v>
      </c>
      <c r="M197" s="91" t="s">
        <v>209</v>
      </c>
      <c r="N197" s="91">
        <v>3</v>
      </c>
      <c r="O197" s="91">
        <v>0</v>
      </c>
      <c r="P197" s="91">
        <v>0</v>
      </c>
      <c r="Q197" s="91">
        <v>100</v>
      </c>
      <c r="R197" s="91" t="s">
        <v>209</v>
      </c>
      <c r="S197" s="91" t="s">
        <v>78</v>
      </c>
      <c r="T197" s="91" t="s">
        <v>201</v>
      </c>
      <c r="U197" s="91" t="s">
        <v>209</v>
      </c>
      <c r="V197" s="91"/>
      <c r="W197" s="129">
        <v>4</v>
      </c>
    </row>
    <row r="198" spans="1:23" x14ac:dyDescent="0.3">
      <c r="A198" s="115" t="s">
        <v>258</v>
      </c>
      <c r="B198" s="91">
        <v>51</v>
      </c>
      <c r="C198" s="116" t="s">
        <v>35</v>
      </c>
      <c r="D198" s="108">
        <v>699</v>
      </c>
      <c r="E198" s="116" t="s">
        <v>241</v>
      </c>
      <c r="F198" s="91" t="s">
        <v>209</v>
      </c>
      <c r="G198" s="91" t="s">
        <v>201</v>
      </c>
      <c r="H198" s="91" t="s">
        <v>201</v>
      </c>
      <c r="I198" s="91" t="s">
        <v>201</v>
      </c>
      <c r="J198" s="91" t="s">
        <v>78</v>
      </c>
      <c r="K198" s="91" t="s">
        <v>201</v>
      </c>
      <c r="L198" s="91" t="s">
        <v>209</v>
      </c>
      <c r="M198" s="91" t="s">
        <v>209</v>
      </c>
      <c r="N198" s="91">
        <v>0</v>
      </c>
      <c r="O198" s="91">
        <v>0</v>
      </c>
      <c r="P198" s="91">
        <v>60</v>
      </c>
      <c r="Q198" s="91">
        <v>49</v>
      </c>
      <c r="R198" s="91" t="s">
        <v>209</v>
      </c>
      <c r="S198" s="91" t="s">
        <v>78</v>
      </c>
      <c r="T198" s="91" t="s">
        <v>209</v>
      </c>
      <c r="U198" s="91" t="s">
        <v>209</v>
      </c>
      <c r="V198" s="91" t="s">
        <v>602</v>
      </c>
      <c r="W198" s="129">
        <v>3</v>
      </c>
    </row>
    <row r="199" spans="1:23" x14ac:dyDescent="0.3">
      <c r="A199" s="115" t="s">
        <v>500</v>
      </c>
      <c r="B199" s="91">
        <v>52</v>
      </c>
      <c r="C199" s="116" t="s">
        <v>34</v>
      </c>
      <c r="D199" s="108">
        <v>2662</v>
      </c>
      <c r="E199" s="116" t="s">
        <v>235</v>
      </c>
      <c r="F199" s="91" t="s">
        <v>209</v>
      </c>
      <c r="G199" s="91" t="s">
        <v>201</v>
      </c>
      <c r="H199" s="91" t="s">
        <v>209</v>
      </c>
      <c r="I199" s="91" t="s">
        <v>209</v>
      </c>
      <c r="J199" s="91" t="s">
        <v>78</v>
      </c>
      <c r="K199" s="91" t="s">
        <v>209</v>
      </c>
      <c r="L199" s="91" t="s">
        <v>209</v>
      </c>
      <c r="M199" s="91" t="s">
        <v>209</v>
      </c>
      <c r="N199" s="91">
        <v>0</v>
      </c>
      <c r="O199" s="91">
        <v>0</v>
      </c>
      <c r="P199" s="91">
        <v>0</v>
      </c>
      <c r="Q199" s="91">
        <v>1</v>
      </c>
      <c r="R199" s="91" t="s">
        <v>209</v>
      </c>
      <c r="S199" s="91" t="s">
        <v>80</v>
      </c>
      <c r="T199" s="91" t="s">
        <v>209</v>
      </c>
      <c r="U199" s="91" t="s">
        <v>209</v>
      </c>
      <c r="V199" s="91" t="s">
        <v>604</v>
      </c>
      <c r="W199" s="129">
        <v>3</v>
      </c>
    </row>
    <row r="200" spans="1:23" x14ac:dyDescent="0.3">
      <c r="A200" s="113" t="s">
        <v>280</v>
      </c>
      <c r="B200" s="92">
        <v>52</v>
      </c>
      <c r="C200" s="114" t="s">
        <v>33</v>
      </c>
      <c r="D200" s="111">
        <v>2486</v>
      </c>
      <c r="E200" s="114" t="s">
        <v>239</v>
      </c>
      <c r="F200" s="92" t="s">
        <v>209</v>
      </c>
      <c r="G200" s="92" t="s">
        <v>201</v>
      </c>
      <c r="H200" s="92" t="s">
        <v>201</v>
      </c>
      <c r="I200" s="92" t="s">
        <v>201</v>
      </c>
      <c r="J200" s="92" t="s">
        <v>78</v>
      </c>
      <c r="K200" s="92" t="s">
        <v>201</v>
      </c>
      <c r="L200" s="92" t="s">
        <v>209</v>
      </c>
      <c r="M200" s="92" t="s">
        <v>209</v>
      </c>
      <c r="N200" s="92">
        <v>0</v>
      </c>
      <c r="O200" s="92">
        <v>12</v>
      </c>
      <c r="P200" s="92">
        <v>70</v>
      </c>
      <c r="Q200" s="92">
        <v>40</v>
      </c>
      <c r="R200" s="92" t="s">
        <v>209</v>
      </c>
      <c r="S200" s="92" t="s">
        <v>78</v>
      </c>
      <c r="T200" s="92" t="s">
        <v>209</v>
      </c>
      <c r="U200" s="92" t="s">
        <v>209</v>
      </c>
      <c r="V200" s="92"/>
      <c r="W200" s="132">
        <v>4</v>
      </c>
    </row>
    <row r="201" spans="1:23" hidden="1" x14ac:dyDescent="0.3">
      <c r="A201" s="115" t="s">
        <v>356</v>
      </c>
      <c r="B201" s="91">
        <v>45</v>
      </c>
      <c r="C201" s="116" t="s">
        <v>32</v>
      </c>
      <c r="D201" s="108">
        <v>2122</v>
      </c>
      <c r="E201" s="116" t="s">
        <v>241</v>
      </c>
      <c r="F201" s="91" t="s">
        <v>209</v>
      </c>
      <c r="G201" s="91" t="s">
        <v>201</v>
      </c>
      <c r="H201" s="91" t="s">
        <v>201</v>
      </c>
      <c r="I201" s="91" t="s">
        <v>201</v>
      </c>
      <c r="J201" s="91" t="s">
        <v>78</v>
      </c>
      <c r="K201" s="91" t="s">
        <v>209</v>
      </c>
      <c r="L201" s="91" t="s">
        <v>209</v>
      </c>
      <c r="M201" s="91" t="s">
        <v>209</v>
      </c>
      <c r="N201" s="91">
        <v>213</v>
      </c>
      <c r="O201" s="91">
        <v>0</v>
      </c>
      <c r="P201" s="91">
        <v>0</v>
      </c>
      <c r="Q201" s="91">
        <v>92</v>
      </c>
      <c r="R201" s="91" t="s">
        <v>209</v>
      </c>
      <c r="S201" s="91" t="s">
        <v>78</v>
      </c>
      <c r="T201" s="91" t="s">
        <v>209</v>
      </c>
      <c r="U201" s="91" t="s">
        <v>209</v>
      </c>
      <c r="V201" s="91" t="s">
        <v>589</v>
      </c>
      <c r="W201" s="129">
        <v>5</v>
      </c>
    </row>
    <row r="202" spans="1:23" hidden="1" x14ac:dyDescent="0.3">
      <c r="A202" s="113" t="s">
        <v>351</v>
      </c>
      <c r="B202" s="92">
        <v>46</v>
      </c>
      <c r="C202" s="114" t="s">
        <v>30</v>
      </c>
      <c r="D202" s="111">
        <v>2662</v>
      </c>
      <c r="E202" s="114" t="s">
        <v>241</v>
      </c>
      <c r="F202" s="92" t="s">
        <v>209</v>
      </c>
      <c r="G202" s="92" t="s">
        <v>209</v>
      </c>
      <c r="H202" s="92" t="s">
        <v>201</v>
      </c>
      <c r="I202" s="92" t="s">
        <v>209</v>
      </c>
      <c r="J202" s="92" t="s">
        <v>236</v>
      </c>
      <c r="K202" s="92" t="s">
        <v>201</v>
      </c>
      <c r="L202" s="92" t="s">
        <v>209</v>
      </c>
      <c r="M202" s="92" t="s">
        <v>201</v>
      </c>
      <c r="N202" s="92">
        <v>41</v>
      </c>
      <c r="O202" s="92">
        <v>0</v>
      </c>
      <c r="P202" s="92">
        <v>0</v>
      </c>
      <c r="Q202" s="92">
        <v>70</v>
      </c>
      <c r="R202" s="92" t="s">
        <v>209</v>
      </c>
      <c r="S202" s="92" t="s">
        <v>78</v>
      </c>
      <c r="T202" s="92" t="s">
        <v>209</v>
      </c>
      <c r="U202" s="92" t="s">
        <v>209</v>
      </c>
      <c r="V202" s="92" t="s">
        <v>591</v>
      </c>
      <c r="W202" s="132">
        <v>4</v>
      </c>
    </row>
    <row r="203" spans="1:23" hidden="1" x14ac:dyDescent="0.3">
      <c r="A203" s="115" t="s">
        <v>349</v>
      </c>
      <c r="B203" s="91">
        <v>46</v>
      </c>
      <c r="C203" s="116" t="s">
        <v>31</v>
      </c>
      <c r="D203" s="108">
        <v>2080</v>
      </c>
      <c r="E203" s="116" t="s">
        <v>241</v>
      </c>
      <c r="F203" s="91" t="s">
        <v>209</v>
      </c>
      <c r="G203" s="91" t="s">
        <v>201</v>
      </c>
      <c r="H203" s="91" t="s">
        <v>209</v>
      </c>
      <c r="I203" s="91" t="s">
        <v>209</v>
      </c>
      <c r="J203" s="91" t="s">
        <v>78</v>
      </c>
      <c r="K203" s="91" t="s">
        <v>201</v>
      </c>
      <c r="L203" s="91" t="s">
        <v>209</v>
      </c>
      <c r="M203" s="91" t="s">
        <v>209</v>
      </c>
      <c r="N203" s="91">
        <v>0</v>
      </c>
      <c r="O203" s="91">
        <v>0</v>
      </c>
      <c r="P203" s="91">
        <v>5</v>
      </c>
      <c r="Q203" s="91">
        <v>100</v>
      </c>
      <c r="R203" s="91" t="s">
        <v>209</v>
      </c>
      <c r="S203" s="91" t="s">
        <v>78</v>
      </c>
      <c r="T203" s="91" t="s">
        <v>209</v>
      </c>
      <c r="U203" s="91" t="s">
        <v>209</v>
      </c>
      <c r="V203" s="91" t="s">
        <v>592</v>
      </c>
      <c r="W203" s="129">
        <v>4</v>
      </c>
    </row>
    <row r="204" spans="1:23" hidden="1" x14ac:dyDescent="0.3">
      <c r="A204" s="113" t="s">
        <v>356</v>
      </c>
      <c r="B204" s="92">
        <v>47</v>
      </c>
      <c r="C204" s="114" t="s">
        <v>32</v>
      </c>
      <c r="D204" s="111">
        <v>7755</v>
      </c>
      <c r="E204" s="114" t="s">
        <v>241</v>
      </c>
      <c r="F204" s="92" t="s">
        <v>209</v>
      </c>
      <c r="G204" s="92" t="s">
        <v>201</v>
      </c>
      <c r="H204" s="92" t="s">
        <v>209</v>
      </c>
      <c r="I204" s="92" t="s">
        <v>209</v>
      </c>
      <c r="J204" s="92" t="s">
        <v>78</v>
      </c>
      <c r="K204" s="92" t="s">
        <v>201</v>
      </c>
      <c r="L204" s="92" t="s">
        <v>209</v>
      </c>
      <c r="M204" s="92" t="s">
        <v>209</v>
      </c>
      <c r="N204" s="92">
        <v>21</v>
      </c>
      <c r="O204" s="92">
        <v>0</v>
      </c>
      <c r="P204" s="92">
        <v>0</v>
      </c>
      <c r="Q204" s="92">
        <v>100</v>
      </c>
      <c r="R204" s="92" t="s">
        <v>209</v>
      </c>
      <c r="S204" s="92" t="s">
        <v>78</v>
      </c>
      <c r="T204" s="92" t="s">
        <v>209</v>
      </c>
      <c r="U204" s="92" t="s">
        <v>209</v>
      </c>
      <c r="V204" s="92" t="s">
        <v>593</v>
      </c>
      <c r="W204" s="132">
        <v>3</v>
      </c>
    </row>
    <row r="205" spans="1:23" hidden="1" x14ac:dyDescent="0.3">
      <c r="A205" s="127" t="s">
        <v>351</v>
      </c>
      <c r="B205" s="116">
        <v>48</v>
      </c>
      <c r="C205" s="116" t="s">
        <v>30</v>
      </c>
      <c r="D205" s="108">
        <v>987</v>
      </c>
      <c r="E205" s="116" t="s">
        <v>241</v>
      </c>
      <c r="F205" s="91" t="s">
        <v>209</v>
      </c>
      <c r="G205" s="91" t="s">
        <v>201</v>
      </c>
      <c r="H205" s="91" t="s">
        <v>201</v>
      </c>
      <c r="I205" s="91" t="s">
        <v>209</v>
      </c>
      <c r="J205" s="91" t="s">
        <v>236</v>
      </c>
      <c r="K205" s="91" t="s">
        <v>209</v>
      </c>
      <c r="L205" s="91" t="s">
        <v>209</v>
      </c>
      <c r="M205" s="91" t="s">
        <v>209</v>
      </c>
      <c r="N205" s="91">
        <v>24</v>
      </c>
      <c r="O205" s="91">
        <v>0</v>
      </c>
      <c r="P205" s="91">
        <v>0</v>
      </c>
      <c r="Q205" s="91">
        <v>64</v>
      </c>
      <c r="R205" s="91" t="s">
        <v>209</v>
      </c>
      <c r="S205" s="91" t="s">
        <v>78</v>
      </c>
      <c r="T205" s="91" t="s">
        <v>209</v>
      </c>
      <c r="U205" s="91" t="s">
        <v>209</v>
      </c>
      <c r="V205" s="91"/>
      <c r="W205" s="129">
        <v>4</v>
      </c>
    </row>
    <row r="206" spans="1:23" hidden="1" x14ac:dyDescent="0.3">
      <c r="A206" s="113" t="s">
        <v>356</v>
      </c>
      <c r="B206" s="92">
        <v>48</v>
      </c>
      <c r="C206" s="114" t="s">
        <v>32</v>
      </c>
      <c r="D206" s="111">
        <v>244</v>
      </c>
      <c r="E206" s="114" t="s">
        <v>241</v>
      </c>
      <c r="F206" s="92" t="s">
        <v>209</v>
      </c>
      <c r="G206" s="92" t="s">
        <v>209</v>
      </c>
      <c r="H206" s="92" t="s">
        <v>209</v>
      </c>
      <c r="I206" s="92" t="s">
        <v>209</v>
      </c>
      <c r="J206" s="92" t="s">
        <v>78</v>
      </c>
      <c r="K206" s="92" t="s">
        <v>209</v>
      </c>
      <c r="L206" s="92" t="s">
        <v>209</v>
      </c>
      <c r="M206" s="92" t="s">
        <v>209</v>
      </c>
      <c r="N206" s="92">
        <v>0</v>
      </c>
      <c r="O206" s="92">
        <v>0</v>
      </c>
      <c r="P206" s="92">
        <v>0</v>
      </c>
      <c r="Q206" s="92">
        <v>100</v>
      </c>
      <c r="R206" s="92" t="s">
        <v>209</v>
      </c>
      <c r="S206" s="92" t="s">
        <v>78</v>
      </c>
      <c r="T206" s="92" t="s">
        <v>209</v>
      </c>
      <c r="U206" s="92" t="s">
        <v>209</v>
      </c>
      <c r="V206" s="92" t="s">
        <v>594</v>
      </c>
      <c r="W206" s="132">
        <v>4</v>
      </c>
    </row>
    <row r="207" spans="1:23" hidden="1" x14ac:dyDescent="0.3">
      <c r="A207" s="115" t="s">
        <v>349</v>
      </c>
      <c r="B207" s="91">
        <v>48</v>
      </c>
      <c r="C207" s="116" t="s">
        <v>31</v>
      </c>
      <c r="D207" s="108">
        <v>6833</v>
      </c>
      <c r="E207" s="116" t="s">
        <v>241</v>
      </c>
      <c r="F207" s="91" t="s">
        <v>209</v>
      </c>
      <c r="G207" s="91" t="s">
        <v>201</v>
      </c>
      <c r="H207" s="91" t="s">
        <v>201</v>
      </c>
      <c r="I207" s="91" t="s">
        <v>201</v>
      </c>
      <c r="J207" s="91" t="s">
        <v>78</v>
      </c>
      <c r="K207" s="91" t="s">
        <v>201</v>
      </c>
      <c r="L207" s="91" t="s">
        <v>209</v>
      </c>
      <c r="M207" s="91" t="s">
        <v>209</v>
      </c>
      <c r="N207" s="91">
        <v>0</v>
      </c>
      <c r="O207" s="91">
        <v>0</v>
      </c>
      <c r="P207" s="91">
        <v>5</v>
      </c>
      <c r="Q207" s="91">
        <v>48</v>
      </c>
      <c r="R207" s="91" t="s">
        <v>209</v>
      </c>
      <c r="S207" s="91" t="s">
        <v>78</v>
      </c>
      <c r="T207" s="91" t="s">
        <v>209</v>
      </c>
      <c r="U207" s="91" t="s">
        <v>209</v>
      </c>
      <c r="V207" s="91" t="s">
        <v>595</v>
      </c>
      <c r="W207" s="129">
        <v>2</v>
      </c>
    </row>
    <row r="208" spans="1:23" x14ac:dyDescent="0.3">
      <c r="A208" s="113" t="s">
        <v>258</v>
      </c>
      <c r="B208" s="92">
        <v>52</v>
      </c>
      <c r="C208" s="114" t="s">
        <v>35</v>
      </c>
      <c r="D208" s="111">
        <v>10114</v>
      </c>
      <c r="E208" s="114" t="s">
        <v>241</v>
      </c>
      <c r="F208" s="92" t="s">
        <v>209</v>
      </c>
      <c r="G208" s="92" t="s">
        <v>201</v>
      </c>
      <c r="H208" s="92" t="s">
        <v>201</v>
      </c>
      <c r="I208" s="92" t="s">
        <v>201</v>
      </c>
      <c r="J208" s="92" t="s">
        <v>15</v>
      </c>
      <c r="K208" s="92" t="s">
        <v>201</v>
      </c>
      <c r="L208" s="92" t="s">
        <v>209</v>
      </c>
      <c r="M208" s="92" t="s">
        <v>209</v>
      </c>
      <c r="N208" s="92">
        <v>0</v>
      </c>
      <c r="O208" s="92">
        <v>0</v>
      </c>
      <c r="P208" s="92">
        <v>70</v>
      </c>
      <c r="Q208" s="92">
        <v>70</v>
      </c>
      <c r="R208" s="92" t="s">
        <v>209</v>
      </c>
      <c r="S208" s="92" t="s">
        <v>78</v>
      </c>
      <c r="T208" s="92" t="s">
        <v>209</v>
      </c>
      <c r="U208" s="92" t="s">
        <v>209</v>
      </c>
      <c r="V208" s="92" t="s">
        <v>606</v>
      </c>
      <c r="W208" s="132">
        <v>3</v>
      </c>
    </row>
    <row r="209" spans="1:23" x14ac:dyDescent="0.3">
      <c r="A209" s="113" t="s">
        <v>234</v>
      </c>
      <c r="B209" s="92">
        <v>52</v>
      </c>
      <c r="C209" s="114" t="s">
        <v>31</v>
      </c>
      <c r="D209" s="111">
        <v>3243</v>
      </c>
      <c r="E209" s="114" t="s">
        <v>235</v>
      </c>
      <c r="F209" s="92" t="s">
        <v>209</v>
      </c>
      <c r="G209" s="92" t="s">
        <v>201</v>
      </c>
      <c r="H209" s="92" t="s">
        <v>201</v>
      </c>
      <c r="I209" s="92" t="s">
        <v>209</v>
      </c>
      <c r="J209" s="92" t="s">
        <v>78</v>
      </c>
      <c r="K209" s="92" t="s">
        <v>201</v>
      </c>
      <c r="L209" s="92" t="s">
        <v>209</v>
      </c>
      <c r="M209" s="92" t="s">
        <v>209</v>
      </c>
      <c r="N209" s="92">
        <v>0</v>
      </c>
      <c r="O209" s="92">
        <v>3</v>
      </c>
      <c r="P209" s="92">
        <v>5</v>
      </c>
      <c r="Q209" s="92">
        <v>100</v>
      </c>
      <c r="R209" s="92" t="s">
        <v>209</v>
      </c>
      <c r="S209" s="92" t="s">
        <v>78</v>
      </c>
      <c r="T209" s="92" t="s">
        <v>201</v>
      </c>
      <c r="U209" s="92" t="s">
        <v>209</v>
      </c>
      <c r="V209" s="92"/>
      <c r="W209" s="132">
        <v>5</v>
      </c>
    </row>
    <row r="210" spans="1:23" x14ac:dyDescent="0.3">
      <c r="A210" s="115" t="s">
        <v>280</v>
      </c>
      <c r="B210" s="91">
        <v>53</v>
      </c>
      <c r="C210" s="116" t="s">
        <v>33</v>
      </c>
      <c r="D210" s="108">
        <v>3019</v>
      </c>
      <c r="E210" s="116" t="s">
        <v>235</v>
      </c>
      <c r="F210" s="91" t="s">
        <v>209</v>
      </c>
      <c r="G210" s="91" t="s">
        <v>201</v>
      </c>
      <c r="H210" s="91" t="s">
        <v>209</v>
      </c>
      <c r="I210" s="91" t="s">
        <v>201</v>
      </c>
      <c r="J210" s="91" t="s">
        <v>78</v>
      </c>
      <c r="K210" s="91" t="s">
        <v>201</v>
      </c>
      <c r="L210" s="91" t="s">
        <v>209</v>
      </c>
      <c r="M210" s="91" t="s">
        <v>209</v>
      </c>
      <c r="N210" s="91">
        <v>1</v>
      </c>
      <c r="O210" s="91">
        <v>15</v>
      </c>
      <c r="P210" s="91">
        <v>40</v>
      </c>
      <c r="Q210" s="91">
        <v>81</v>
      </c>
      <c r="R210" s="91" t="s">
        <v>209</v>
      </c>
      <c r="S210" s="91" t="s">
        <v>78</v>
      </c>
      <c r="T210" s="91" t="s">
        <v>209</v>
      </c>
      <c r="U210" s="91" t="s">
        <v>209</v>
      </c>
      <c r="V210" s="91"/>
      <c r="W210" s="129">
        <v>4</v>
      </c>
    </row>
    <row r="211" spans="1:23" x14ac:dyDescent="0.3">
      <c r="A211" s="115" t="s">
        <v>234</v>
      </c>
      <c r="B211" s="91">
        <v>53</v>
      </c>
      <c r="C211" s="116" t="s">
        <v>32</v>
      </c>
      <c r="D211" s="108">
        <v>2840</v>
      </c>
      <c r="E211" s="116" t="s">
        <v>239</v>
      </c>
      <c r="F211" s="91" t="s">
        <v>209</v>
      </c>
      <c r="G211" s="91" t="s">
        <v>201</v>
      </c>
      <c r="H211" s="91" t="s">
        <v>209</v>
      </c>
      <c r="I211" s="91" t="s">
        <v>201</v>
      </c>
      <c r="J211" s="91" t="s">
        <v>78</v>
      </c>
      <c r="K211" s="91" t="s">
        <v>201</v>
      </c>
      <c r="L211" s="91" t="s">
        <v>209</v>
      </c>
      <c r="M211" s="91" t="s">
        <v>209</v>
      </c>
      <c r="N211" s="91">
        <v>4</v>
      </c>
      <c r="O211" s="91">
        <v>9</v>
      </c>
      <c r="P211" s="91">
        <v>5</v>
      </c>
      <c r="Q211" s="91">
        <v>100</v>
      </c>
      <c r="R211" s="91" t="s">
        <v>209</v>
      </c>
      <c r="S211" s="91" t="s">
        <v>78</v>
      </c>
      <c r="T211" s="91" t="s">
        <v>209</v>
      </c>
      <c r="U211" s="91" t="s">
        <v>209</v>
      </c>
      <c r="V211" s="91" t="s">
        <v>607</v>
      </c>
      <c r="W211" s="129">
        <v>2</v>
      </c>
    </row>
    <row r="212" spans="1:23" hidden="1" x14ac:dyDescent="0.3">
      <c r="A212" s="113" t="s">
        <v>356</v>
      </c>
      <c r="B212" s="92">
        <v>49</v>
      </c>
      <c r="C212" s="114" t="s">
        <v>32</v>
      </c>
      <c r="D212" s="111">
        <v>9534</v>
      </c>
      <c r="E212" s="114" t="s">
        <v>241</v>
      </c>
      <c r="F212" s="92" t="s">
        <v>209</v>
      </c>
      <c r="G212" s="92" t="s">
        <v>209</v>
      </c>
      <c r="H212" s="92" t="s">
        <v>209</v>
      </c>
      <c r="I212" s="92" t="s">
        <v>209</v>
      </c>
      <c r="J212" s="92" t="s">
        <v>78</v>
      </c>
      <c r="K212" s="92" t="s">
        <v>209</v>
      </c>
      <c r="L212" s="92" t="s">
        <v>209</v>
      </c>
      <c r="M212" s="92" t="s">
        <v>209</v>
      </c>
      <c r="N212" s="92">
        <v>0</v>
      </c>
      <c r="O212" s="92">
        <v>0</v>
      </c>
      <c r="P212" s="92">
        <v>0</v>
      </c>
      <c r="Q212" s="92">
        <v>100</v>
      </c>
      <c r="R212" s="92" t="s">
        <v>209</v>
      </c>
      <c r="S212" s="92" t="s">
        <v>78</v>
      </c>
      <c r="T212" s="92" t="s">
        <v>209</v>
      </c>
      <c r="U212" s="92" t="s">
        <v>209</v>
      </c>
      <c r="V212" s="92" t="s">
        <v>555</v>
      </c>
      <c r="W212" s="132">
        <v>3</v>
      </c>
    </row>
    <row r="213" spans="1:23" hidden="1" x14ac:dyDescent="0.3">
      <c r="A213" s="115" t="s">
        <v>351</v>
      </c>
      <c r="B213" s="91">
        <v>49</v>
      </c>
      <c r="C213" s="116" t="s">
        <v>30</v>
      </c>
      <c r="D213" s="108">
        <v>3009</v>
      </c>
      <c r="E213" s="116" t="s">
        <v>239</v>
      </c>
      <c r="F213" s="91" t="s">
        <v>209</v>
      </c>
      <c r="G213" s="91" t="s">
        <v>201</v>
      </c>
      <c r="H213" s="91" t="s">
        <v>209</v>
      </c>
      <c r="I213" s="91" t="s">
        <v>209</v>
      </c>
      <c r="J213" s="91" t="s">
        <v>236</v>
      </c>
      <c r="K213" s="91" t="s">
        <v>209</v>
      </c>
      <c r="L213" s="91" t="s">
        <v>209</v>
      </c>
      <c r="M213" s="91" t="s">
        <v>209</v>
      </c>
      <c r="N213" s="91">
        <v>40</v>
      </c>
      <c r="O213" s="91">
        <v>0</v>
      </c>
      <c r="P213" s="91">
        <v>0</v>
      </c>
      <c r="Q213" s="91">
        <v>67</v>
      </c>
      <c r="R213" s="91" t="s">
        <v>209</v>
      </c>
      <c r="S213" s="91" t="s">
        <v>78</v>
      </c>
      <c r="T213" s="91" t="s">
        <v>209</v>
      </c>
      <c r="U213" s="91" t="s">
        <v>209</v>
      </c>
      <c r="V213" s="91" t="s">
        <v>597</v>
      </c>
      <c r="W213" s="129">
        <v>5</v>
      </c>
    </row>
    <row r="214" spans="1:23" x14ac:dyDescent="0.3">
      <c r="A214" s="113" t="s">
        <v>258</v>
      </c>
      <c r="B214" s="92">
        <v>53</v>
      </c>
      <c r="C214" s="114" t="s">
        <v>35</v>
      </c>
      <c r="D214" s="111">
        <v>4146</v>
      </c>
      <c r="E214" s="114" t="s">
        <v>239</v>
      </c>
      <c r="F214" s="92" t="s">
        <v>209</v>
      </c>
      <c r="G214" s="92" t="s">
        <v>201</v>
      </c>
      <c r="H214" s="92" t="s">
        <v>201</v>
      </c>
      <c r="I214" s="92" t="s">
        <v>201</v>
      </c>
      <c r="J214" s="92" t="s">
        <v>78</v>
      </c>
      <c r="K214" s="92" t="s">
        <v>201</v>
      </c>
      <c r="L214" s="92" t="s">
        <v>209</v>
      </c>
      <c r="M214" s="92" t="s">
        <v>209</v>
      </c>
      <c r="N214" s="92">
        <v>0</v>
      </c>
      <c r="O214" s="92">
        <v>0</v>
      </c>
      <c r="P214" s="92">
        <v>25</v>
      </c>
      <c r="Q214" s="92">
        <v>50</v>
      </c>
      <c r="R214" s="92" t="s">
        <v>201</v>
      </c>
      <c r="S214" s="92" t="s">
        <v>78</v>
      </c>
      <c r="T214" s="92" t="s">
        <v>209</v>
      </c>
      <c r="U214" s="92" t="s">
        <v>209</v>
      </c>
      <c r="V214" s="92"/>
      <c r="W214" s="132">
        <v>3</v>
      </c>
    </row>
    <row r="215" spans="1:23" hidden="1" x14ac:dyDescent="0.3">
      <c r="A215" s="127" t="s">
        <v>356</v>
      </c>
      <c r="B215" s="91">
        <v>50</v>
      </c>
      <c r="C215" s="91" t="s">
        <v>32</v>
      </c>
      <c r="D215" s="91">
        <v>3944</v>
      </c>
      <c r="E215" s="91" t="s">
        <v>241</v>
      </c>
      <c r="F215" s="91" t="s">
        <v>209</v>
      </c>
      <c r="G215" s="91" t="s">
        <v>201</v>
      </c>
      <c r="H215" s="91" t="s">
        <v>209</v>
      </c>
      <c r="I215" s="91" t="s">
        <v>209</v>
      </c>
      <c r="J215" s="91" t="s">
        <v>78</v>
      </c>
      <c r="K215" s="91" t="s">
        <v>209</v>
      </c>
      <c r="L215" s="91" t="s">
        <v>209</v>
      </c>
      <c r="M215" s="91" t="s">
        <v>209</v>
      </c>
      <c r="N215" s="91">
        <v>2</v>
      </c>
      <c r="O215" s="91">
        <v>0</v>
      </c>
      <c r="P215" s="91">
        <v>0</v>
      </c>
      <c r="Q215" s="91">
        <v>20</v>
      </c>
      <c r="R215" s="91" t="s">
        <v>209</v>
      </c>
      <c r="S215" s="91" t="s">
        <v>78</v>
      </c>
      <c r="T215" s="91" t="s">
        <v>209</v>
      </c>
      <c r="U215" s="91" t="s">
        <v>209</v>
      </c>
      <c r="V215" s="91" t="s">
        <v>600</v>
      </c>
      <c r="W215" s="129">
        <v>5</v>
      </c>
    </row>
    <row r="216" spans="1:23" hidden="1" x14ac:dyDescent="0.3">
      <c r="A216" s="113" t="s">
        <v>351</v>
      </c>
      <c r="B216" s="92">
        <v>50</v>
      </c>
      <c r="C216" s="114" t="s">
        <v>30</v>
      </c>
      <c r="D216" s="111">
        <v>7425</v>
      </c>
      <c r="E216" s="114" t="s">
        <v>241</v>
      </c>
      <c r="F216" s="92" t="s">
        <v>209</v>
      </c>
      <c r="G216" s="92" t="s">
        <v>201</v>
      </c>
      <c r="H216" s="92" t="s">
        <v>201</v>
      </c>
      <c r="I216" s="92" t="s">
        <v>209</v>
      </c>
      <c r="J216" s="92" t="s">
        <v>236</v>
      </c>
      <c r="K216" s="92" t="s">
        <v>201</v>
      </c>
      <c r="L216" s="92" t="s">
        <v>209</v>
      </c>
      <c r="M216" s="92" t="s">
        <v>209</v>
      </c>
      <c r="N216" s="92">
        <v>40</v>
      </c>
      <c r="O216" s="92">
        <v>0</v>
      </c>
      <c r="P216" s="92">
        <v>0</v>
      </c>
      <c r="Q216" s="92">
        <v>75</v>
      </c>
      <c r="R216" s="92" t="s">
        <v>201</v>
      </c>
      <c r="S216" s="92" t="s">
        <v>78</v>
      </c>
      <c r="T216" s="92" t="s">
        <v>209</v>
      </c>
      <c r="U216" s="92" t="s">
        <v>209</v>
      </c>
      <c r="V216" s="92"/>
      <c r="W216" s="132">
        <v>3</v>
      </c>
    </row>
    <row r="217" spans="1:23" hidden="1" x14ac:dyDescent="0.3">
      <c r="A217" s="115" t="s">
        <v>349</v>
      </c>
      <c r="B217" s="91">
        <v>50</v>
      </c>
      <c r="C217" s="116" t="s">
        <v>31</v>
      </c>
      <c r="D217" s="108">
        <v>10905</v>
      </c>
      <c r="E217" s="116" t="s">
        <v>241</v>
      </c>
      <c r="F217" s="91" t="s">
        <v>209</v>
      </c>
      <c r="G217" s="91" t="s">
        <v>201</v>
      </c>
      <c r="H217" s="91" t="s">
        <v>209</v>
      </c>
      <c r="I217" s="91" t="s">
        <v>209</v>
      </c>
      <c r="J217" s="91" t="s">
        <v>78</v>
      </c>
      <c r="K217" s="91" t="s">
        <v>209</v>
      </c>
      <c r="L217" s="91" t="s">
        <v>209</v>
      </c>
      <c r="M217" s="91" t="s">
        <v>209</v>
      </c>
      <c r="N217" s="91">
        <v>0</v>
      </c>
      <c r="O217" s="91">
        <v>0</v>
      </c>
      <c r="P217" s="91">
        <v>0</v>
      </c>
      <c r="Q217" s="91">
        <v>100</v>
      </c>
      <c r="R217" s="91" t="s">
        <v>209</v>
      </c>
      <c r="S217" s="91" t="s">
        <v>78</v>
      </c>
      <c r="T217" s="91" t="s">
        <v>209</v>
      </c>
      <c r="U217" s="91" t="s">
        <v>209</v>
      </c>
      <c r="V217" s="91" t="s">
        <v>601</v>
      </c>
      <c r="W217" s="129">
        <v>4</v>
      </c>
    </row>
    <row r="218" spans="1:23" x14ac:dyDescent="0.3">
      <c r="A218" s="113" t="s">
        <v>500</v>
      </c>
      <c r="B218" s="92">
        <v>53</v>
      </c>
      <c r="C218" s="114" t="s">
        <v>34</v>
      </c>
      <c r="D218" s="111">
        <v>1212</v>
      </c>
      <c r="E218" s="114" t="s">
        <v>241</v>
      </c>
      <c r="F218" s="92" t="s">
        <v>209</v>
      </c>
      <c r="G218" s="92" t="s">
        <v>201</v>
      </c>
      <c r="H218" s="92" t="s">
        <v>209</v>
      </c>
      <c r="I218" s="92" t="s">
        <v>209</v>
      </c>
      <c r="J218" s="92" t="s">
        <v>78</v>
      </c>
      <c r="K218" s="92" t="s">
        <v>201</v>
      </c>
      <c r="L218" s="92" t="s">
        <v>209</v>
      </c>
      <c r="M218" s="92" t="s">
        <v>209</v>
      </c>
      <c r="N218" s="92">
        <v>0</v>
      </c>
      <c r="O218" s="92">
        <v>0</v>
      </c>
      <c r="P218" s="92">
        <v>20</v>
      </c>
      <c r="Q218" s="92">
        <v>57</v>
      </c>
      <c r="R218" s="92" t="s">
        <v>209</v>
      </c>
      <c r="S218" s="92" t="s">
        <v>78</v>
      </c>
      <c r="T218" s="92" t="s">
        <v>209</v>
      </c>
      <c r="U218" s="92" t="s">
        <v>201</v>
      </c>
      <c r="V218" s="92" t="s">
        <v>609</v>
      </c>
      <c r="W218" s="132">
        <v>3</v>
      </c>
    </row>
    <row r="219" spans="1:23" x14ac:dyDescent="0.3">
      <c r="A219" s="115" t="s">
        <v>500</v>
      </c>
      <c r="B219" s="91">
        <v>53</v>
      </c>
      <c r="C219" s="116" t="s">
        <v>34</v>
      </c>
      <c r="D219" s="108">
        <v>10380</v>
      </c>
      <c r="E219" s="116" t="s">
        <v>239</v>
      </c>
      <c r="F219" s="91" t="s">
        <v>209</v>
      </c>
      <c r="G219" s="91" t="s">
        <v>201</v>
      </c>
      <c r="H219" s="91" t="s">
        <v>209</v>
      </c>
      <c r="I219" s="91" t="s">
        <v>209</v>
      </c>
      <c r="J219" s="91" t="s">
        <v>78</v>
      </c>
      <c r="K219" s="91" t="s">
        <v>201</v>
      </c>
      <c r="L219" s="91" t="s">
        <v>209</v>
      </c>
      <c r="M219" s="91" t="s">
        <v>209</v>
      </c>
      <c r="N219" s="91">
        <v>0</v>
      </c>
      <c r="O219" s="91">
        <v>6</v>
      </c>
      <c r="P219" s="91">
        <v>5</v>
      </c>
      <c r="Q219" s="91">
        <v>21</v>
      </c>
      <c r="R219" s="91" t="s">
        <v>209</v>
      </c>
      <c r="S219" s="91" t="s">
        <v>78</v>
      </c>
      <c r="T219" s="91" t="s">
        <v>209</v>
      </c>
      <c r="U219" s="91" t="s">
        <v>209</v>
      </c>
      <c r="V219" s="91" t="s">
        <v>610</v>
      </c>
      <c r="W219" s="129">
        <v>2</v>
      </c>
    </row>
    <row r="220" spans="1:23" x14ac:dyDescent="0.3">
      <c r="A220" s="113" t="s">
        <v>280</v>
      </c>
      <c r="B220" s="92">
        <v>54</v>
      </c>
      <c r="C220" s="114" t="s">
        <v>33</v>
      </c>
      <c r="D220" s="111">
        <v>3424</v>
      </c>
      <c r="E220" s="114" t="s">
        <v>241</v>
      </c>
      <c r="F220" s="92" t="s">
        <v>209</v>
      </c>
      <c r="G220" s="92" t="s">
        <v>201</v>
      </c>
      <c r="H220" s="92" t="s">
        <v>209</v>
      </c>
      <c r="I220" s="92" t="s">
        <v>209</v>
      </c>
      <c r="J220" s="92" t="s">
        <v>78</v>
      </c>
      <c r="K220" s="92" t="s">
        <v>201</v>
      </c>
      <c r="L220" s="92" t="s">
        <v>209</v>
      </c>
      <c r="M220" s="92" t="s">
        <v>209</v>
      </c>
      <c r="N220" s="92">
        <v>0</v>
      </c>
      <c r="O220" s="92">
        <v>18</v>
      </c>
      <c r="P220" s="92">
        <v>15</v>
      </c>
      <c r="Q220" s="92">
        <v>58</v>
      </c>
      <c r="R220" s="92" t="s">
        <v>209</v>
      </c>
      <c r="S220" s="92" t="s">
        <v>78</v>
      </c>
      <c r="T220" s="92" t="s">
        <v>209</v>
      </c>
      <c r="U220" s="92" t="s">
        <v>209</v>
      </c>
      <c r="V220" s="92"/>
      <c r="W220" s="132">
        <v>3</v>
      </c>
    </row>
    <row r="221" spans="1:23" hidden="1" x14ac:dyDescent="0.3">
      <c r="A221" s="115" t="s">
        <v>351</v>
      </c>
      <c r="B221" s="91">
        <v>51</v>
      </c>
      <c r="C221" s="116" t="s">
        <v>30</v>
      </c>
      <c r="D221" s="108">
        <v>3245</v>
      </c>
      <c r="E221" s="116" t="s">
        <v>241</v>
      </c>
      <c r="F221" s="91" t="s">
        <v>209</v>
      </c>
      <c r="G221" s="91" t="s">
        <v>201</v>
      </c>
      <c r="H221" s="91" t="s">
        <v>201</v>
      </c>
      <c r="I221" s="91" t="s">
        <v>201</v>
      </c>
      <c r="J221" s="91" t="s">
        <v>236</v>
      </c>
      <c r="K221" s="91" t="s">
        <v>201</v>
      </c>
      <c r="L221" s="91" t="s">
        <v>209</v>
      </c>
      <c r="M221" s="91" t="s">
        <v>209</v>
      </c>
      <c r="N221" s="91">
        <v>27</v>
      </c>
      <c r="O221" s="91">
        <v>0</v>
      </c>
      <c r="P221" s="91">
        <v>0</v>
      </c>
      <c r="Q221" s="91">
        <v>61</v>
      </c>
      <c r="R221" s="91" t="s">
        <v>209</v>
      </c>
      <c r="S221" s="91" t="s">
        <v>78</v>
      </c>
      <c r="T221" s="91" t="s">
        <v>209</v>
      </c>
      <c r="U221" s="91" t="s">
        <v>209</v>
      </c>
      <c r="V221" s="91"/>
      <c r="W221" s="129">
        <v>3</v>
      </c>
    </row>
    <row r="222" spans="1:23" x14ac:dyDescent="0.3">
      <c r="A222" s="113" t="s">
        <v>465</v>
      </c>
      <c r="B222" s="92">
        <v>55</v>
      </c>
      <c r="C222" s="114" t="s">
        <v>35</v>
      </c>
      <c r="D222" s="111">
        <v>991</v>
      </c>
      <c r="E222" s="114" t="s">
        <v>239</v>
      </c>
      <c r="F222" s="92" t="s">
        <v>209</v>
      </c>
      <c r="G222" s="92" t="s">
        <v>201</v>
      </c>
      <c r="H222" s="92" t="s">
        <v>201</v>
      </c>
      <c r="I222" s="92" t="s">
        <v>201</v>
      </c>
      <c r="J222" s="92" t="s">
        <v>78</v>
      </c>
      <c r="K222" s="92" t="s">
        <v>201</v>
      </c>
      <c r="L222" s="92" t="s">
        <v>209</v>
      </c>
      <c r="M222" s="92" t="s">
        <v>209</v>
      </c>
      <c r="N222" s="92">
        <v>0</v>
      </c>
      <c r="O222" s="92">
        <v>0</v>
      </c>
      <c r="P222" s="92">
        <v>15</v>
      </c>
      <c r="Q222" s="92">
        <v>87</v>
      </c>
      <c r="R222" s="92" t="s">
        <v>209</v>
      </c>
      <c r="S222" s="92" t="s">
        <v>78</v>
      </c>
      <c r="T222" s="92" t="s">
        <v>209</v>
      </c>
      <c r="U222" s="92" t="s">
        <v>209</v>
      </c>
      <c r="V222" s="92" t="s">
        <v>613</v>
      </c>
      <c r="W222" s="132">
        <v>3</v>
      </c>
    </row>
    <row r="223" spans="1:23" x14ac:dyDescent="0.3">
      <c r="A223" s="115" t="s">
        <v>280</v>
      </c>
      <c r="B223" s="91">
        <v>55</v>
      </c>
      <c r="C223" s="116" t="s">
        <v>33</v>
      </c>
      <c r="D223" s="108">
        <v>7426</v>
      </c>
      <c r="E223" s="116" t="s">
        <v>235</v>
      </c>
      <c r="F223" s="91" t="s">
        <v>209</v>
      </c>
      <c r="G223" s="91" t="s">
        <v>201</v>
      </c>
      <c r="H223" s="91" t="s">
        <v>201</v>
      </c>
      <c r="I223" s="91" t="s">
        <v>201</v>
      </c>
      <c r="J223" s="91" t="s">
        <v>78</v>
      </c>
      <c r="K223" s="91" t="s">
        <v>201</v>
      </c>
      <c r="L223" s="91" t="s">
        <v>209</v>
      </c>
      <c r="M223" s="91" t="s">
        <v>209</v>
      </c>
      <c r="N223" s="91">
        <v>1</v>
      </c>
      <c r="O223" s="91">
        <v>3</v>
      </c>
      <c r="P223" s="91">
        <v>120</v>
      </c>
      <c r="Q223" s="91">
        <v>85</v>
      </c>
      <c r="R223" s="91" t="s">
        <v>209</v>
      </c>
      <c r="S223" s="91" t="s">
        <v>78</v>
      </c>
      <c r="T223" s="91" t="s">
        <v>209</v>
      </c>
      <c r="U223" s="91" t="s">
        <v>209</v>
      </c>
      <c r="V223" s="91"/>
      <c r="W223" s="129">
        <v>5</v>
      </c>
    </row>
    <row r="224" spans="1:23" hidden="1" x14ac:dyDescent="0.3">
      <c r="A224" s="113" t="s">
        <v>349</v>
      </c>
      <c r="B224" s="92">
        <v>51</v>
      </c>
      <c r="C224" s="114" t="s">
        <v>31</v>
      </c>
      <c r="D224" s="111">
        <v>10988</v>
      </c>
      <c r="E224" s="114" t="s">
        <v>241</v>
      </c>
      <c r="F224" s="92" t="s">
        <v>209</v>
      </c>
      <c r="G224" s="92" t="s">
        <v>201</v>
      </c>
      <c r="H224" s="92" t="s">
        <v>209</v>
      </c>
      <c r="I224" s="92" t="s">
        <v>201</v>
      </c>
      <c r="J224" s="92" t="s">
        <v>78</v>
      </c>
      <c r="K224" s="92" t="s">
        <v>201</v>
      </c>
      <c r="L224" s="92" t="s">
        <v>209</v>
      </c>
      <c r="M224" s="92" t="s">
        <v>209</v>
      </c>
      <c r="N224" s="92">
        <v>0</v>
      </c>
      <c r="O224" s="92">
        <v>0</v>
      </c>
      <c r="P224" s="92">
        <v>5</v>
      </c>
      <c r="Q224" s="92">
        <v>1</v>
      </c>
      <c r="R224" s="92" t="s">
        <v>209</v>
      </c>
      <c r="S224" s="92" t="s">
        <v>78</v>
      </c>
      <c r="T224" s="92" t="s">
        <v>209</v>
      </c>
      <c r="U224" s="92" t="s">
        <v>201</v>
      </c>
      <c r="V224" s="92" t="s">
        <v>603</v>
      </c>
      <c r="W224" s="132">
        <v>4</v>
      </c>
    </row>
    <row r="225" spans="1:23" x14ac:dyDescent="0.3">
      <c r="A225" s="113" t="s">
        <v>500</v>
      </c>
      <c r="B225" s="92">
        <v>55</v>
      </c>
      <c r="C225" s="114" t="s">
        <v>34</v>
      </c>
      <c r="D225" s="111">
        <v>1165</v>
      </c>
      <c r="E225" s="114" t="s">
        <v>241</v>
      </c>
      <c r="F225" s="92" t="s">
        <v>209</v>
      </c>
      <c r="G225" s="92" t="s">
        <v>209</v>
      </c>
      <c r="H225" s="92" t="s">
        <v>209</v>
      </c>
      <c r="I225" s="92" t="s">
        <v>209</v>
      </c>
      <c r="J225" s="92" t="s">
        <v>78</v>
      </c>
      <c r="K225" s="92" t="s">
        <v>209</v>
      </c>
      <c r="L225" s="92" t="s">
        <v>209</v>
      </c>
      <c r="M225" s="92" t="s">
        <v>209</v>
      </c>
      <c r="N225" s="92">
        <v>0</v>
      </c>
      <c r="O225" s="92">
        <v>0</v>
      </c>
      <c r="P225" s="92">
        <v>0</v>
      </c>
      <c r="Q225" s="92">
        <v>1</v>
      </c>
      <c r="R225" s="92" t="s">
        <v>201</v>
      </c>
      <c r="S225" s="92" t="s">
        <v>78</v>
      </c>
      <c r="T225" s="92" t="s">
        <v>209</v>
      </c>
      <c r="U225" s="92" t="s">
        <v>209</v>
      </c>
      <c r="V225" s="92"/>
      <c r="W225" s="132">
        <v>3</v>
      </c>
    </row>
    <row r="226" spans="1:23" x14ac:dyDescent="0.3">
      <c r="A226" s="115" t="s">
        <v>280</v>
      </c>
      <c r="B226" s="91">
        <v>56</v>
      </c>
      <c r="C226" s="116" t="s">
        <v>33</v>
      </c>
      <c r="D226" s="108">
        <v>3009</v>
      </c>
      <c r="E226" s="116" t="s">
        <v>241</v>
      </c>
      <c r="F226" s="91" t="s">
        <v>209</v>
      </c>
      <c r="G226" s="91" t="s">
        <v>201</v>
      </c>
      <c r="H226" s="91" t="s">
        <v>201</v>
      </c>
      <c r="I226" s="91" t="s">
        <v>209</v>
      </c>
      <c r="J226" s="91" t="s">
        <v>78</v>
      </c>
      <c r="K226" s="91" t="s">
        <v>201</v>
      </c>
      <c r="L226" s="91" t="s">
        <v>209</v>
      </c>
      <c r="M226" s="91" t="s">
        <v>209</v>
      </c>
      <c r="N226" s="91">
        <v>0</v>
      </c>
      <c r="O226" s="91">
        <v>3</v>
      </c>
      <c r="P226" s="91">
        <v>40</v>
      </c>
      <c r="Q226" s="91">
        <v>26</v>
      </c>
      <c r="R226" s="91" t="s">
        <v>209</v>
      </c>
      <c r="S226" s="91" t="s">
        <v>78</v>
      </c>
      <c r="T226" s="91" t="s">
        <v>209</v>
      </c>
      <c r="U226" s="91" t="s">
        <v>209</v>
      </c>
      <c r="V226" s="91"/>
      <c r="W226" s="129">
        <v>2</v>
      </c>
    </row>
    <row r="227" spans="1:23" hidden="1" x14ac:dyDescent="0.3">
      <c r="A227" s="115" t="s">
        <v>356</v>
      </c>
      <c r="B227" s="91">
        <v>52</v>
      </c>
      <c r="C227" s="116" t="s">
        <v>32</v>
      </c>
      <c r="D227" s="108">
        <v>9777</v>
      </c>
      <c r="E227" s="116" t="s">
        <v>241</v>
      </c>
      <c r="F227" s="91" t="s">
        <v>209</v>
      </c>
      <c r="G227" s="91" t="s">
        <v>201</v>
      </c>
      <c r="H227" s="91" t="s">
        <v>209</v>
      </c>
      <c r="I227" s="91" t="s">
        <v>201</v>
      </c>
      <c r="J227" s="91" t="s">
        <v>78</v>
      </c>
      <c r="K227" s="91" t="s">
        <v>201</v>
      </c>
      <c r="L227" s="91" t="s">
        <v>209</v>
      </c>
      <c r="M227" s="91" t="s">
        <v>209</v>
      </c>
      <c r="N227" s="91">
        <v>0</v>
      </c>
      <c r="O227" s="91">
        <v>0</v>
      </c>
      <c r="P227" s="91">
        <v>0</v>
      </c>
      <c r="Q227" s="91">
        <v>100</v>
      </c>
      <c r="R227" s="91" t="s">
        <v>209</v>
      </c>
      <c r="S227" s="91" t="s">
        <v>78</v>
      </c>
      <c r="T227" s="91" t="s">
        <v>209</v>
      </c>
      <c r="U227" s="91" t="s">
        <v>209</v>
      </c>
      <c r="V227" s="91" t="s">
        <v>605</v>
      </c>
      <c r="W227" s="129">
        <v>5</v>
      </c>
    </row>
    <row r="228" spans="1:23" x14ac:dyDescent="0.3">
      <c r="A228" s="113" t="s">
        <v>500</v>
      </c>
      <c r="B228" s="92">
        <v>56</v>
      </c>
      <c r="C228" s="114" t="s">
        <v>32</v>
      </c>
      <c r="D228" s="111">
        <v>6833</v>
      </c>
      <c r="E228" s="114" t="s">
        <v>235</v>
      </c>
      <c r="F228" s="92" t="s">
        <v>209</v>
      </c>
      <c r="G228" s="92" t="s">
        <v>201</v>
      </c>
      <c r="H228" s="92" t="s">
        <v>209</v>
      </c>
      <c r="I228" s="92" t="s">
        <v>209</v>
      </c>
      <c r="J228" s="92" t="s">
        <v>78</v>
      </c>
      <c r="K228" s="92" t="s">
        <v>201</v>
      </c>
      <c r="L228" s="92" t="s">
        <v>209</v>
      </c>
      <c r="M228" s="92" t="s">
        <v>201</v>
      </c>
      <c r="N228" s="92">
        <v>0</v>
      </c>
      <c r="O228" s="92">
        <v>0</v>
      </c>
      <c r="P228" s="92">
        <v>0</v>
      </c>
      <c r="Q228" s="92">
        <v>65</v>
      </c>
      <c r="R228" s="92" t="s">
        <v>209</v>
      </c>
      <c r="S228" s="92" t="s">
        <v>77</v>
      </c>
      <c r="T228" s="92" t="s">
        <v>209</v>
      </c>
      <c r="U228" s="92" t="s">
        <v>209</v>
      </c>
      <c r="V228" s="92" t="s">
        <v>616</v>
      </c>
      <c r="W228" s="132">
        <v>3</v>
      </c>
    </row>
    <row r="229" spans="1:23" x14ac:dyDescent="0.3">
      <c r="A229" s="113" t="s">
        <v>500</v>
      </c>
      <c r="B229" s="92">
        <v>57</v>
      </c>
      <c r="C229" s="114" t="s">
        <v>35</v>
      </c>
      <c r="D229" s="111">
        <v>5933</v>
      </c>
      <c r="E229" s="114" t="s">
        <v>239</v>
      </c>
      <c r="F229" s="92" t="s">
        <v>209</v>
      </c>
      <c r="G229" s="92" t="s">
        <v>201</v>
      </c>
      <c r="H229" s="92" t="s">
        <v>201</v>
      </c>
      <c r="I229" s="92" t="s">
        <v>201</v>
      </c>
      <c r="J229" s="92" t="s">
        <v>78</v>
      </c>
      <c r="K229" s="92" t="s">
        <v>209</v>
      </c>
      <c r="L229" s="92" t="s">
        <v>209</v>
      </c>
      <c r="M229" s="92" t="s">
        <v>209</v>
      </c>
      <c r="N229" s="92">
        <v>0</v>
      </c>
      <c r="O229" s="92">
        <v>0</v>
      </c>
      <c r="P229" s="92">
        <v>55</v>
      </c>
      <c r="Q229" s="92">
        <v>72</v>
      </c>
      <c r="R229" s="92" t="s">
        <v>209</v>
      </c>
      <c r="S229" s="92" t="s">
        <v>78</v>
      </c>
      <c r="T229" s="92" t="s">
        <v>209</v>
      </c>
      <c r="U229" s="92" t="s">
        <v>209</v>
      </c>
      <c r="V229" s="92" t="s">
        <v>618</v>
      </c>
      <c r="W229" s="132">
        <v>3</v>
      </c>
    </row>
    <row r="230" spans="1:23" x14ac:dyDescent="0.3">
      <c r="A230" s="113" t="s">
        <v>234</v>
      </c>
      <c r="B230" s="92">
        <v>61</v>
      </c>
      <c r="C230" s="114" t="s">
        <v>33</v>
      </c>
      <c r="D230" s="111">
        <v>7333</v>
      </c>
      <c r="E230" s="114" t="s">
        <v>235</v>
      </c>
      <c r="F230" s="92" t="s">
        <v>209</v>
      </c>
      <c r="G230" s="92" t="s">
        <v>209</v>
      </c>
      <c r="H230" s="92" t="s">
        <v>209</v>
      </c>
      <c r="I230" s="92" t="s">
        <v>209</v>
      </c>
      <c r="J230" s="92" t="s">
        <v>236</v>
      </c>
      <c r="K230" s="92" t="s">
        <v>201</v>
      </c>
      <c r="L230" s="92" t="s">
        <v>209</v>
      </c>
      <c r="M230" s="92" t="s">
        <v>209</v>
      </c>
      <c r="N230" s="92">
        <v>2</v>
      </c>
      <c r="O230" s="92">
        <v>3</v>
      </c>
      <c r="P230" s="92">
        <v>65</v>
      </c>
      <c r="Q230" s="92">
        <v>77</v>
      </c>
      <c r="R230" s="92" t="s">
        <v>209</v>
      </c>
      <c r="S230" s="92" t="s">
        <v>78</v>
      </c>
      <c r="T230" s="92" t="s">
        <v>209</v>
      </c>
      <c r="U230" s="92" t="s">
        <v>209</v>
      </c>
      <c r="V230" s="92"/>
      <c r="W230" s="132">
        <v>5</v>
      </c>
    </row>
    <row r="231" spans="1:23" x14ac:dyDescent="0.3">
      <c r="A231" s="113" t="s">
        <v>378</v>
      </c>
      <c r="B231" s="92">
        <v>62</v>
      </c>
      <c r="C231" s="114" t="s">
        <v>35</v>
      </c>
      <c r="D231" s="111">
        <v>3243</v>
      </c>
      <c r="E231" s="114" t="s">
        <v>235</v>
      </c>
      <c r="F231" s="92" t="s">
        <v>201</v>
      </c>
      <c r="G231" s="92" t="s">
        <v>209</v>
      </c>
      <c r="H231" s="92" t="s">
        <v>209</v>
      </c>
      <c r="I231" s="92" t="s">
        <v>209</v>
      </c>
      <c r="J231" s="92" t="s">
        <v>78</v>
      </c>
      <c r="K231" s="92" t="s">
        <v>209</v>
      </c>
      <c r="L231" s="92" t="s">
        <v>209</v>
      </c>
      <c r="M231" s="92" t="s">
        <v>209</v>
      </c>
      <c r="N231" s="92">
        <v>0</v>
      </c>
      <c r="O231" s="92">
        <v>0</v>
      </c>
      <c r="P231" s="92">
        <v>0</v>
      </c>
      <c r="Q231" s="92">
        <v>100</v>
      </c>
      <c r="R231" s="92" t="s">
        <v>209</v>
      </c>
      <c r="S231" s="92" t="s">
        <v>80</v>
      </c>
      <c r="T231" s="92" t="s">
        <v>209</v>
      </c>
      <c r="U231" s="92" t="s">
        <v>209</v>
      </c>
      <c r="V231" s="92"/>
      <c r="W231" s="132">
        <v>5</v>
      </c>
    </row>
    <row r="232" spans="1:23" x14ac:dyDescent="0.3">
      <c r="A232" s="113" t="s">
        <v>378</v>
      </c>
      <c r="B232" s="92">
        <v>63</v>
      </c>
      <c r="C232" s="114" t="s">
        <v>33</v>
      </c>
      <c r="D232" s="111">
        <v>3019</v>
      </c>
      <c r="E232" s="114" t="s">
        <v>241</v>
      </c>
      <c r="F232" s="92" t="s">
        <v>209</v>
      </c>
      <c r="G232" s="92" t="s">
        <v>209</v>
      </c>
      <c r="H232" s="92" t="s">
        <v>209</v>
      </c>
      <c r="I232" s="92" t="s">
        <v>201</v>
      </c>
      <c r="J232" s="92" t="s">
        <v>78</v>
      </c>
      <c r="K232" s="92" t="s">
        <v>201</v>
      </c>
      <c r="L232" s="92" t="s">
        <v>209</v>
      </c>
      <c r="M232" s="92" t="s">
        <v>201</v>
      </c>
      <c r="N232" s="92">
        <v>7</v>
      </c>
      <c r="O232" s="92">
        <v>12</v>
      </c>
      <c r="P232" s="92">
        <v>5</v>
      </c>
      <c r="Q232" s="92">
        <v>46</v>
      </c>
      <c r="R232" s="92" t="s">
        <v>209</v>
      </c>
      <c r="S232" s="92" t="s">
        <v>78</v>
      </c>
      <c r="T232" s="92" t="s">
        <v>209</v>
      </c>
      <c r="U232" s="92" t="s">
        <v>209</v>
      </c>
      <c r="V232" s="92" t="s">
        <v>633</v>
      </c>
      <c r="W232" s="132">
        <v>3</v>
      </c>
    </row>
    <row r="233" spans="1:23" x14ac:dyDescent="0.3">
      <c r="A233" s="113" t="s">
        <v>256</v>
      </c>
      <c r="B233" s="92">
        <v>64</v>
      </c>
      <c r="C233" s="114" t="s">
        <v>34</v>
      </c>
      <c r="D233" s="111">
        <v>10980</v>
      </c>
      <c r="E233" s="114" t="s">
        <v>239</v>
      </c>
      <c r="F233" s="92" t="s">
        <v>209</v>
      </c>
      <c r="G233" s="92" t="s">
        <v>201</v>
      </c>
      <c r="H233" s="92" t="s">
        <v>209</v>
      </c>
      <c r="I233" s="92" t="s">
        <v>201</v>
      </c>
      <c r="J233" s="92" t="s">
        <v>78</v>
      </c>
      <c r="K233" s="92" t="s">
        <v>201</v>
      </c>
      <c r="L233" s="92" t="s">
        <v>209</v>
      </c>
      <c r="M233" s="92" t="s">
        <v>209</v>
      </c>
      <c r="N233" s="92">
        <v>0</v>
      </c>
      <c r="O233" s="92">
        <v>0</v>
      </c>
      <c r="P233" s="92">
        <v>50</v>
      </c>
      <c r="Q233" s="92">
        <v>59</v>
      </c>
      <c r="R233" s="92" t="s">
        <v>209</v>
      </c>
      <c r="S233" s="92" t="s">
        <v>78</v>
      </c>
      <c r="T233" s="92" t="s">
        <v>209</v>
      </c>
      <c r="U233" s="92" t="s">
        <v>209</v>
      </c>
      <c r="V233" s="92" t="s">
        <v>636</v>
      </c>
      <c r="W233" s="132">
        <v>4</v>
      </c>
    </row>
    <row r="234" spans="1:23" x14ac:dyDescent="0.3">
      <c r="A234" s="113" t="s">
        <v>378</v>
      </c>
      <c r="B234" s="92">
        <v>64</v>
      </c>
      <c r="C234" s="114" t="s">
        <v>33</v>
      </c>
      <c r="D234" s="111">
        <v>2840</v>
      </c>
      <c r="E234" s="114" t="s">
        <v>235</v>
      </c>
      <c r="F234" s="92" t="s">
        <v>209</v>
      </c>
      <c r="G234" s="92" t="s">
        <v>209</v>
      </c>
      <c r="H234" s="92" t="s">
        <v>209</v>
      </c>
      <c r="I234" s="92" t="s">
        <v>201</v>
      </c>
      <c r="J234" s="92" t="s">
        <v>78</v>
      </c>
      <c r="K234" s="92" t="s">
        <v>201</v>
      </c>
      <c r="L234" s="92" t="s">
        <v>209</v>
      </c>
      <c r="M234" s="92" t="s">
        <v>209</v>
      </c>
      <c r="N234" s="92">
        <v>5</v>
      </c>
      <c r="O234" s="92">
        <v>3</v>
      </c>
      <c r="P234" s="92">
        <v>20</v>
      </c>
      <c r="Q234" s="92">
        <v>74</v>
      </c>
      <c r="R234" s="92" t="s">
        <v>209</v>
      </c>
      <c r="S234" s="92" t="s">
        <v>78</v>
      </c>
      <c r="T234" s="92" t="s">
        <v>209</v>
      </c>
      <c r="U234" s="92" t="s">
        <v>209</v>
      </c>
      <c r="V234" s="92" t="s">
        <v>637</v>
      </c>
      <c r="W234" s="132">
        <v>3</v>
      </c>
    </row>
    <row r="235" spans="1:23" hidden="1" x14ac:dyDescent="0.3">
      <c r="A235" s="115" t="s">
        <v>349</v>
      </c>
      <c r="B235" s="91">
        <v>53</v>
      </c>
      <c r="C235" s="116" t="s">
        <v>31</v>
      </c>
      <c r="D235" s="108">
        <v>9704</v>
      </c>
      <c r="E235" s="116" t="s">
        <v>241</v>
      </c>
      <c r="F235" s="91" t="s">
        <v>209</v>
      </c>
      <c r="G235" s="91" t="s">
        <v>201</v>
      </c>
      <c r="H235" s="91" t="s">
        <v>209</v>
      </c>
      <c r="I235" s="91" t="s">
        <v>209</v>
      </c>
      <c r="J235" s="91" t="s">
        <v>78</v>
      </c>
      <c r="K235" s="91" t="s">
        <v>201</v>
      </c>
      <c r="L235" s="91" t="s">
        <v>209</v>
      </c>
      <c r="M235" s="91" t="s">
        <v>209</v>
      </c>
      <c r="N235" s="91">
        <v>0</v>
      </c>
      <c r="O235" s="91">
        <v>0</v>
      </c>
      <c r="P235" s="91">
        <v>0</v>
      </c>
      <c r="Q235" s="91">
        <v>1</v>
      </c>
      <c r="R235" s="91" t="s">
        <v>209</v>
      </c>
      <c r="S235" s="91" t="s">
        <v>78</v>
      </c>
      <c r="T235" s="91" t="s">
        <v>201</v>
      </c>
      <c r="U235" s="91" t="s">
        <v>209</v>
      </c>
      <c r="V235" s="91" t="s">
        <v>608</v>
      </c>
      <c r="W235" s="129">
        <v>1</v>
      </c>
    </row>
    <row r="236" spans="1:23" x14ac:dyDescent="0.3">
      <c r="A236" s="113" t="s">
        <v>283</v>
      </c>
      <c r="B236" s="92">
        <v>64</v>
      </c>
      <c r="C236" s="114" t="s">
        <v>35</v>
      </c>
      <c r="D236" s="111">
        <v>987</v>
      </c>
      <c r="E236" s="114" t="s">
        <v>235</v>
      </c>
      <c r="F236" s="92" t="s">
        <v>209</v>
      </c>
      <c r="G236" s="92" t="s">
        <v>201</v>
      </c>
      <c r="H236" s="92" t="s">
        <v>201</v>
      </c>
      <c r="I236" s="92" t="s">
        <v>201</v>
      </c>
      <c r="J236" s="92" t="s">
        <v>78</v>
      </c>
      <c r="K236" s="92" t="s">
        <v>201</v>
      </c>
      <c r="L236" s="92" t="s">
        <v>209</v>
      </c>
      <c r="M236" s="92" t="s">
        <v>209</v>
      </c>
      <c r="N236" s="92">
        <v>5</v>
      </c>
      <c r="O236" s="92">
        <v>24</v>
      </c>
      <c r="P236" s="92">
        <v>90</v>
      </c>
      <c r="Q236" s="92">
        <v>61</v>
      </c>
      <c r="R236" s="92" t="s">
        <v>209</v>
      </c>
      <c r="S236" s="92" t="s">
        <v>78</v>
      </c>
      <c r="T236" s="92" t="s">
        <v>209</v>
      </c>
      <c r="U236" s="92" t="s">
        <v>209</v>
      </c>
      <c r="V236" s="92" t="s">
        <v>639</v>
      </c>
      <c r="W236" s="132">
        <v>4</v>
      </c>
    </row>
    <row r="237" spans="1:23" x14ac:dyDescent="0.3">
      <c r="A237" s="113" t="s">
        <v>283</v>
      </c>
      <c r="B237" s="92">
        <v>65</v>
      </c>
      <c r="C237" s="114" t="s">
        <v>32</v>
      </c>
      <c r="D237" s="111">
        <v>6413</v>
      </c>
      <c r="E237" s="114" t="s">
        <v>241</v>
      </c>
      <c r="F237" s="92" t="s">
        <v>209</v>
      </c>
      <c r="G237" s="92" t="s">
        <v>201</v>
      </c>
      <c r="H237" s="92" t="s">
        <v>201</v>
      </c>
      <c r="I237" s="92" t="s">
        <v>209</v>
      </c>
      <c r="J237" s="92" t="s">
        <v>78</v>
      </c>
      <c r="K237" s="92" t="s">
        <v>201</v>
      </c>
      <c r="L237" s="92" t="s">
        <v>209</v>
      </c>
      <c r="M237" s="92" t="s">
        <v>209</v>
      </c>
      <c r="N237" s="92">
        <v>15</v>
      </c>
      <c r="O237" s="92">
        <v>24</v>
      </c>
      <c r="P237" s="92">
        <v>105</v>
      </c>
      <c r="Q237" s="92">
        <v>70</v>
      </c>
      <c r="R237" s="92" t="s">
        <v>209</v>
      </c>
      <c r="S237" s="92" t="s">
        <v>78</v>
      </c>
      <c r="T237" s="92" t="s">
        <v>209</v>
      </c>
      <c r="U237" s="92" t="s">
        <v>209</v>
      </c>
      <c r="V237" s="92"/>
      <c r="W237" s="132">
        <v>4</v>
      </c>
    </row>
    <row r="238" spans="1:23" x14ac:dyDescent="0.3">
      <c r="A238" s="130" t="s">
        <v>283</v>
      </c>
      <c r="B238" s="92">
        <v>66</v>
      </c>
      <c r="C238" s="92" t="s">
        <v>31</v>
      </c>
      <c r="D238" s="92">
        <v>4164</v>
      </c>
      <c r="E238" s="92" t="s">
        <v>239</v>
      </c>
      <c r="F238" s="92" t="s">
        <v>209</v>
      </c>
      <c r="G238" s="92" t="s">
        <v>209</v>
      </c>
      <c r="H238" s="92" t="s">
        <v>209</v>
      </c>
      <c r="I238" s="92" t="s">
        <v>209</v>
      </c>
      <c r="J238" s="92" t="s">
        <v>78</v>
      </c>
      <c r="K238" s="92" t="s">
        <v>201</v>
      </c>
      <c r="L238" s="92" t="s">
        <v>209</v>
      </c>
      <c r="M238" s="92" t="s">
        <v>209</v>
      </c>
      <c r="N238" s="92">
        <v>0</v>
      </c>
      <c r="O238" s="92">
        <v>0</v>
      </c>
      <c r="P238" s="92">
        <v>5</v>
      </c>
      <c r="Q238" s="92">
        <v>100</v>
      </c>
      <c r="R238" s="92" t="s">
        <v>209</v>
      </c>
      <c r="S238" s="92" t="s">
        <v>78</v>
      </c>
      <c r="T238" s="92" t="s">
        <v>201</v>
      </c>
      <c r="U238" s="92" t="s">
        <v>209</v>
      </c>
      <c r="V238" s="92" t="s">
        <v>645</v>
      </c>
      <c r="W238" s="132">
        <v>2</v>
      </c>
    </row>
    <row r="239" spans="1:23" hidden="1" x14ac:dyDescent="0.3">
      <c r="A239" s="115" t="s">
        <v>356</v>
      </c>
      <c r="B239" s="91">
        <v>54</v>
      </c>
      <c r="C239" s="116" t="s">
        <v>32</v>
      </c>
      <c r="D239" s="108">
        <v>2080</v>
      </c>
      <c r="E239" s="116" t="s">
        <v>241</v>
      </c>
      <c r="F239" s="91" t="s">
        <v>209</v>
      </c>
      <c r="G239" s="91" t="s">
        <v>201</v>
      </c>
      <c r="H239" s="91" t="s">
        <v>209</v>
      </c>
      <c r="I239" s="91" t="s">
        <v>209</v>
      </c>
      <c r="J239" s="91" t="s">
        <v>78</v>
      </c>
      <c r="K239" s="91" t="s">
        <v>201</v>
      </c>
      <c r="L239" s="91" t="s">
        <v>209</v>
      </c>
      <c r="M239" s="91" t="s">
        <v>209</v>
      </c>
      <c r="N239" s="91">
        <v>3</v>
      </c>
      <c r="O239" s="91">
        <v>0</v>
      </c>
      <c r="P239" s="91">
        <v>0</v>
      </c>
      <c r="Q239" s="91">
        <v>100</v>
      </c>
      <c r="R239" s="91" t="s">
        <v>201</v>
      </c>
      <c r="S239" s="91" t="s">
        <v>77</v>
      </c>
      <c r="T239" s="91" t="s">
        <v>209</v>
      </c>
      <c r="U239" s="91" t="s">
        <v>209</v>
      </c>
      <c r="V239" s="91" t="s">
        <v>611</v>
      </c>
      <c r="W239" s="129">
        <v>3</v>
      </c>
    </row>
    <row r="240" spans="1:23" hidden="1" x14ac:dyDescent="0.3">
      <c r="A240" s="113" t="s">
        <v>349</v>
      </c>
      <c r="B240" s="92">
        <v>54</v>
      </c>
      <c r="C240" s="114" t="s">
        <v>31</v>
      </c>
      <c r="D240" s="111">
        <v>1410</v>
      </c>
      <c r="E240" s="114" t="s">
        <v>241</v>
      </c>
      <c r="F240" s="92" t="s">
        <v>209</v>
      </c>
      <c r="G240" s="92" t="s">
        <v>209</v>
      </c>
      <c r="H240" s="92" t="s">
        <v>209</v>
      </c>
      <c r="I240" s="92" t="s">
        <v>209</v>
      </c>
      <c r="J240" s="92" t="s">
        <v>78</v>
      </c>
      <c r="K240" s="92" t="s">
        <v>209</v>
      </c>
      <c r="L240" s="92" t="s">
        <v>209</v>
      </c>
      <c r="M240" s="92" t="s">
        <v>209</v>
      </c>
      <c r="N240" s="92">
        <v>0</v>
      </c>
      <c r="O240" s="92">
        <v>0</v>
      </c>
      <c r="P240" s="92">
        <v>0</v>
      </c>
      <c r="Q240" s="92">
        <v>100</v>
      </c>
      <c r="R240" s="92" t="s">
        <v>209</v>
      </c>
      <c r="S240" s="92" t="s">
        <v>78</v>
      </c>
      <c r="T240" s="92" t="s">
        <v>209</v>
      </c>
      <c r="U240" s="92" t="s">
        <v>209</v>
      </c>
      <c r="V240" s="92" t="s">
        <v>612</v>
      </c>
      <c r="W240" s="132">
        <v>5</v>
      </c>
    </row>
    <row r="241" spans="1:23" hidden="1" x14ac:dyDescent="0.3">
      <c r="A241" s="115" t="s">
        <v>351</v>
      </c>
      <c r="B241" s="91">
        <v>54</v>
      </c>
      <c r="C241" s="116" t="s">
        <v>30</v>
      </c>
      <c r="D241" s="108">
        <v>9091</v>
      </c>
      <c r="E241" s="116" t="s">
        <v>241</v>
      </c>
      <c r="F241" s="91" t="s">
        <v>209</v>
      </c>
      <c r="G241" s="91" t="s">
        <v>201</v>
      </c>
      <c r="H241" s="91" t="s">
        <v>209</v>
      </c>
      <c r="I241" s="91" t="s">
        <v>209</v>
      </c>
      <c r="J241" s="91" t="s">
        <v>78</v>
      </c>
      <c r="K241" s="91" t="s">
        <v>201</v>
      </c>
      <c r="L241" s="91" t="s">
        <v>201</v>
      </c>
      <c r="M241" s="91" t="s">
        <v>209</v>
      </c>
      <c r="N241" s="91">
        <v>14</v>
      </c>
      <c r="O241" s="91">
        <v>0</v>
      </c>
      <c r="P241" s="91">
        <v>0</v>
      </c>
      <c r="Q241" s="91">
        <v>76</v>
      </c>
      <c r="R241" s="91" t="s">
        <v>201</v>
      </c>
      <c r="S241" s="91" t="s">
        <v>78</v>
      </c>
      <c r="T241" s="91" t="s">
        <v>209</v>
      </c>
      <c r="U241" s="91" t="s">
        <v>209</v>
      </c>
      <c r="V241" s="91"/>
      <c r="W241" s="129">
        <v>4</v>
      </c>
    </row>
    <row r="242" spans="1:23" x14ac:dyDescent="0.3">
      <c r="A242" s="113" t="s">
        <v>280</v>
      </c>
      <c r="B242" s="92">
        <v>66</v>
      </c>
      <c r="C242" s="114" t="s">
        <v>33</v>
      </c>
      <c r="D242" s="111">
        <v>11479</v>
      </c>
      <c r="E242" s="114" t="s">
        <v>239</v>
      </c>
      <c r="F242" s="92" t="s">
        <v>209</v>
      </c>
      <c r="G242" s="92" t="s">
        <v>201</v>
      </c>
      <c r="H242" s="92" t="s">
        <v>201</v>
      </c>
      <c r="I242" s="92" t="s">
        <v>201</v>
      </c>
      <c r="J242" s="92" t="s">
        <v>78</v>
      </c>
      <c r="K242" s="92" t="s">
        <v>201</v>
      </c>
      <c r="L242" s="92" t="s">
        <v>209</v>
      </c>
      <c r="M242" s="92" t="s">
        <v>209</v>
      </c>
      <c r="N242" s="92">
        <v>1</v>
      </c>
      <c r="O242" s="92">
        <v>18</v>
      </c>
      <c r="P242" s="92">
        <v>35</v>
      </c>
      <c r="Q242" s="92">
        <v>36</v>
      </c>
      <c r="R242" s="92" t="s">
        <v>209</v>
      </c>
      <c r="S242" s="92" t="s">
        <v>78</v>
      </c>
      <c r="T242" s="92" t="s">
        <v>209</v>
      </c>
      <c r="U242" s="92" t="s">
        <v>209</v>
      </c>
      <c r="V242" s="92" t="s">
        <v>647</v>
      </c>
      <c r="W242" s="132">
        <v>2</v>
      </c>
    </row>
    <row r="243" spans="1:23" x14ac:dyDescent="0.3">
      <c r="A243" s="130" t="s">
        <v>234</v>
      </c>
      <c r="B243" s="92">
        <v>67</v>
      </c>
      <c r="C243" s="92" t="s">
        <v>33</v>
      </c>
      <c r="D243" s="92">
        <v>288</v>
      </c>
      <c r="E243" s="92" t="s">
        <v>241</v>
      </c>
      <c r="F243" s="92" t="s">
        <v>201</v>
      </c>
      <c r="G243" s="92" t="s">
        <v>209</v>
      </c>
      <c r="H243" s="92" t="s">
        <v>209</v>
      </c>
      <c r="I243" s="92" t="s">
        <v>209</v>
      </c>
      <c r="J243" s="92" t="s">
        <v>236</v>
      </c>
      <c r="K243" s="92" t="s">
        <v>209</v>
      </c>
      <c r="L243" s="92" t="s">
        <v>209</v>
      </c>
      <c r="M243" s="92" t="s">
        <v>209</v>
      </c>
      <c r="N243" s="92">
        <v>0</v>
      </c>
      <c r="O243" s="92">
        <v>3</v>
      </c>
      <c r="P243" s="92">
        <v>5</v>
      </c>
      <c r="Q243" s="92">
        <v>36</v>
      </c>
      <c r="R243" s="92" t="s">
        <v>201</v>
      </c>
      <c r="S243" s="92" t="s">
        <v>78</v>
      </c>
      <c r="T243" s="92" t="s">
        <v>209</v>
      </c>
      <c r="U243" s="92" t="s">
        <v>209</v>
      </c>
      <c r="V243" s="92"/>
      <c r="W243" s="132">
        <v>3</v>
      </c>
    </row>
    <row r="244" spans="1:23" x14ac:dyDescent="0.3">
      <c r="A244" s="113" t="s">
        <v>378</v>
      </c>
      <c r="B244" s="92">
        <v>67</v>
      </c>
      <c r="C244" s="114" t="s">
        <v>30</v>
      </c>
      <c r="D244" s="111">
        <v>1828</v>
      </c>
      <c r="E244" s="114" t="s">
        <v>239</v>
      </c>
      <c r="F244" s="92" t="s">
        <v>209</v>
      </c>
      <c r="G244" s="92" t="s">
        <v>201</v>
      </c>
      <c r="H244" s="92" t="s">
        <v>209</v>
      </c>
      <c r="I244" s="92" t="s">
        <v>201</v>
      </c>
      <c r="J244" s="92" t="s">
        <v>78</v>
      </c>
      <c r="K244" s="92" t="s">
        <v>201</v>
      </c>
      <c r="L244" s="92" t="s">
        <v>209</v>
      </c>
      <c r="M244" s="92" t="s">
        <v>209</v>
      </c>
      <c r="N244" s="92">
        <v>0</v>
      </c>
      <c r="O244" s="92">
        <v>18</v>
      </c>
      <c r="P244" s="92">
        <v>30</v>
      </c>
      <c r="Q244" s="92">
        <v>74</v>
      </c>
      <c r="R244" s="92" t="s">
        <v>209</v>
      </c>
      <c r="S244" s="92" t="s">
        <v>78</v>
      </c>
      <c r="T244" s="92" t="s">
        <v>209</v>
      </c>
      <c r="U244" s="92" t="s">
        <v>209</v>
      </c>
      <c r="V244" s="92" t="s">
        <v>648</v>
      </c>
      <c r="W244" s="132">
        <v>3</v>
      </c>
    </row>
    <row r="245" spans="1:23" hidden="1" x14ac:dyDescent="0.3">
      <c r="A245" s="115" t="s">
        <v>349</v>
      </c>
      <c r="B245" s="91">
        <v>55</v>
      </c>
      <c r="C245" s="116" t="s">
        <v>31</v>
      </c>
      <c r="D245" s="108">
        <v>10933</v>
      </c>
      <c r="E245" s="116" t="s">
        <v>241</v>
      </c>
      <c r="F245" s="91" t="s">
        <v>209</v>
      </c>
      <c r="G245" s="91" t="s">
        <v>201</v>
      </c>
      <c r="H245" s="91" t="s">
        <v>209</v>
      </c>
      <c r="I245" s="91" t="s">
        <v>209</v>
      </c>
      <c r="J245" s="91" t="s">
        <v>78</v>
      </c>
      <c r="K245" s="91" t="s">
        <v>201</v>
      </c>
      <c r="L245" s="91" t="s">
        <v>209</v>
      </c>
      <c r="M245" s="91" t="s">
        <v>209</v>
      </c>
      <c r="N245" s="91">
        <v>8</v>
      </c>
      <c r="O245" s="91">
        <v>6</v>
      </c>
      <c r="P245" s="91">
        <v>55</v>
      </c>
      <c r="Q245" s="91">
        <v>88</v>
      </c>
      <c r="R245" s="91" t="s">
        <v>209</v>
      </c>
      <c r="S245" s="91" t="s">
        <v>78</v>
      </c>
      <c r="T245" s="91" t="s">
        <v>209</v>
      </c>
      <c r="U245" s="91" t="s">
        <v>209</v>
      </c>
      <c r="V245" s="91" t="s">
        <v>614</v>
      </c>
      <c r="W245" s="129">
        <v>5</v>
      </c>
    </row>
    <row r="246" spans="1:23" hidden="1" x14ac:dyDescent="0.3">
      <c r="A246" s="113" t="s">
        <v>351</v>
      </c>
      <c r="B246" s="92">
        <v>55</v>
      </c>
      <c r="C246" s="114" t="s">
        <v>30</v>
      </c>
      <c r="D246" s="111">
        <v>2122</v>
      </c>
      <c r="E246" s="114" t="s">
        <v>241</v>
      </c>
      <c r="F246" s="92" t="s">
        <v>209</v>
      </c>
      <c r="G246" s="92" t="s">
        <v>201</v>
      </c>
      <c r="H246" s="92" t="s">
        <v>201</v>
      </c>
      <c r="I246" s="92" t="s">
        <v>201</v>
      </c>
      <c r="J246" s="92" t="s">
        <v>78</v>
      </c>
      <c r="K246" s="92" t="s">
        <v>209</v>
      </c>
      <c r="L246" s="92" t="s">
        <v>209</v>
      </c>
      <c r="M246" s="92" t="s">
        <v>209</v>
      </c>
      <c r="N246" s="92">
        <v>64</v>
      </c>
      <c r="O246" s="92">
        <v>0</v>
      </c>
      <c r="P246" s="92">
        <v>90</v>
      </c>
      <c r="Q246" s="92">
        <v>92</v>
      </c>
      <c r="R246" s="92" t="s">
        <v>201</v>
      </c>
      <c r="S246" s="92" t="s">
        <v>78</v>
      </c>
      <c r="T246" s="92" t="s">
        <v>209</v>
      </c>
      <c r="U246" s="92" t="s">
        <v>209</v>
      </c>
      <c r="V246" s="92"/>
      <c r="W246" s="132">
        <v>4</v>
      </c>
    </row>
    <row r="247" spans="1:23" x14ac:dyDescent="0.3">
      <c r="A247" s="113" t="s">
        <v>283</v>
      </c>
      <c r="B247" s="92">
        <v>67</v>
      </c>
      <c r="C247" s="114" t="s">
        <v>34</v>
      </c>
      <c r="D247" s="111">
        <v>2403</v>
      </c>
      <c r="E247" s="114" t="s">
        <v>235</v>
      </c>
      <c r="F247" s="92" t="s">
        <v>209</v>
      </c>
      <c r="G247" s="92" t="s">
        <v>201</v>
      </c>
      <c r="H247" s="92" t="s">
        <v>209</v>
      </c>
      <c r="I247" s="92" t="s">
        <v>201</v>
      </c>
      <c r="J247" s="92" t="s">
        <v>78</v>
      </c>
      <c r="K247" s="92" t="s">
        <v>201</v>
      </c>
      <c r="L247" s="92" t="s">
        <v>209</v>
      </c>
      <c r="M247" s="92" t="s">
        <v>209</v>
      </c>
      <c r="N247" s="92">
        <v>2</v>
      </c>
      <c r="O247" s="92">
        <v>33</v>
      </c>
      <c r="P247" s="92">
        <v>60</v>
      </c>
      <c r="Q247" s="92">
        <v>69</v>
      </c>
      <c r="R247" s="92" t="s">
        <v>209</v>
      </c>
      <c r="S247" s="92" t="s">
        <v>78</v>
      </c>
      <c r="T247" s="92" t="s">
        <v>209</v>
      </c>
      <c r="U247" s="92" t="s">
        <v>209</v>
      </c>
      <c r="V247" s="92" t="s">
        <v>651</v>
      </c>
      <c r="W247" s="132">
        <v>4</v>
      </c>
    </row>
    <row r="248" spans="1:23" x14ac:dyDescent="0.3">
      <c r="A248" s="113" t="s">
        <v>280</v>
      </c>
      <c r="B248" s="92">
        <v>67</v>
      </c>
      <c r="C248" s="114" t="s">
        <v>35</v>
      </c>
      <c r="D248" s="111">
        <v>9501</v>
      </c>
      <c r="E248" s="114" t="s">
        <v>239</v>
      </c>
      <c r="F248" s="92" t="s">
        <v>209</v>
      </c>
      <c r="G248" s="92" t="s">
        <v>201</v>
      </c>
      <c r="H248" s="92" t="s">
        <v>201</v>
      </c>
      <c r="I248" s="92" t="s">
        <v>209</v>
      </c>
      <c r="J248" s="92" t="s">
        <v>78</v>
      </c>
      <c r="K248" s="92" t="s">
        <v>201</v>
      </c>
      <c r="L248" s="92" t="s">
        <v>209</v>
      </c>
      <c r="M248" s="92" t="s">
        <v>209</v>
      </c>
      <c r="N248" s="92">
        <v>0</v>
      </c>
      <c r="O248" s="92">
        <v>0</v>
      </c>
      <c r="P248" s="92">
        <v>25</v>
      </c>
      <c r="Q248" s="92">
        <v>66</v>
      </c>
      <c r="R248" s="92" t="s">
        <v>209</v>
      </c>
      <c r="S248" s="92" t="s">
        <v>78</v>
      </c>
      <c r="T248" s="92" t="s">
        <v>201</v>
      </c>
      <c r="U248" s="92" t="s">
        <v>209</v>
      </c>
      <c r="V248" s="92" t="s">
        <v>652</v>
      </c>
      <c r="W248" s="132">
        <v>1</v>
      </c>
    </row>
    <row r="249" spans="1:23" hidden="1" x14ac:dyDescent="0.3">
      <c r="A249" s="115" t="s">
        <v>349</v>
      </c>
      <c r="B249" s="91">
        <v>56</v>
      </c>
      <c r="C249" s="116" t="s">
        <v>31</v>
      </c>
      <c r="D249" s="108">
        <v>11479</v>
      </c>
      <c r="E249" s="116" t="s">
        <v>241</v>
      </c>
      <c r="F249" s="91" t="s">
        <v>209</v>
      </c>
      <c r="G249" s="91" t="s">
        <v>201</v>
      </c>
      <c r="H249" s="91" t="s">
        <v>201</v>
      </c>
      <c r="I249" s="91" t="s">
        <v>201</v>
      </c>
      <c r="J249" s="91" t="s">
        <v>78</v>
      </c>
      <c r="K249" s="91" t="s">
        <v>201</v>
      </c>
      <c r="L249" s="91" t="s">
        <v>209</v>
      </c>
      <c r="M249" s="91" t="s">
        <v>209</v>
      </c>
      <c r="N249" s="91">
        <v>0</v>
      </c>
      <c r="O249" s="91">
        <v>3</v>
      </c>
      <c r="P249" s="91">
        <v>0</v>
      </c>
      <c r="Q249" s="91">
        <v>100</v>
      </c>
      <c r="R249" s="91" t="s">
        <v>209</v>
      </c>
      <c r="S249" s="91" t="s">
        <v>78</v>
      </c>
      <c r="T249" s="91" t="s">
        <v>201</v>
      </c>
      <c r="U249" s="91" t="s">
        <v>209</v>
      </c>
      <c r="V249" s="91" t="s">
        <v>617</v>
      </c>
      <c r="W249" s="129">
        <v>4</v>
      </c>
    </row>
    <row r="250" spans="1:23" x14ac:dyDescent="0.3">
      <c r="A250" s="130" t="s">
        <v>234</v>
      </c>
      <c r="B250" s="92">
        <v>68</v>
      </c>
      <c r="C250" s="92" t="s">
        <v>33</v>
      </c>
      <c r="D250" s="92">
        <v>9091</v>
      </c>
      <c r="E250" s="92" t="s">
        <v>235</v>
      </c>
      <c r="F250" s="92" t="s">
        <v>201</v>
      </c>
      <c r="G250" s="92" t="s">
        <v>209</v>
      </c>
      <c r="H250" s="92" t="s">
        <v>209</v>
      </c>
      <c r="I250" s="92" t="s">
        <v>209</v>
      </c>
      <c r="J250" s="92" t="s">
        <v>236</v>
      </c>
      <c r="K250" s="92" t="s">
        <v>209</v>
      </c>
      <c r="L250" s="92" t="s">
        <v>209</v>
      </c>
      <c r="M250" s="92" t="s">
        <v>209</v>
      </c>
      <c r="N250" s="92">
        <v>0</v>
      </c>
      <c r="O250" s="92">
        <v>0</v>
      </c>
      <c r="P250" s="92">
        <v>0</v>
      </c>
      <c r="Q250" s="92">
        <v>100</v>
      </c>
      <c r="R250" s="92" t="s">
        <v>209</v>
      </c>
      <c r="S250" s="92" t="s">
        <v>78</v>
      </c>
      <c r="T250" s="92" t="s">
        <v>209</v>
      </c>
      <c r="U250" s="92" t="s">
        <v>209</v>
      </c>
      <c r="V250" s="92"/>
      <c r="W250" s="132">
        <v>5</v>
      </c>
    </row>
    <row r="251" spans="1:23" hidden="1" x14ac:dyDescent="0.3">
      <c r="A251" s="115" t="s">
        <v>351</v>
      </c>
      <c r="B251" s="91">
        <v>57</v>
      </c>
      <c r="C251" s="116" t="s">
        <v>30</v>
      </c>
      <c r="D251" s="108">
        <v>698</v>
      </c>
      <c r="E251" s="116" t="s">
        <v>241</v>
      </c>
      <c r="F251" s="91" t="s">
        <v>209</v>
      </c>
      <c r="G251" s="91" t="s">
        <v>201</v>
      </c>
      <c r="H251" s="91" t="s">
        <v>201</v>
      </c>
      <c r="I251" s="91" t="s">
        <v>201</v>
      </c>
      <c r="J251" s="91" t="s">
        <v>78</v>
      </c>
      <c r="K251" s="91" t="s">
        <v>209</v>
      </c>
      <c r="L251" s="91" t="s">
        <v>209</v>
      </c>
      <c r="M251" s="91" t="s">
        <v>209</v>
      </c>
      <c r="N251" s="91">
        <v>30</v>
      </c>
      <c r="O251" s="91">
        <v>0</v>
      </c>
      <c r="P251" s="91">
        <v>0</v>
      </c>
      <c r="Q251" s="91">
        <v>77</v>
      </c>
      <c r="R251" s="91" t="s">
        <v>201</v>
      </c>
      <c r="S251" s="91" t="s">
        <v>78</v>
      </c>
      <c r="T251" s="91" t="s">
        <v>209</v>
      </c>
      <c r="U251" s="91" t="s">
        <v>209</v>
      </c>
      <c r="V251" s="91"/>
      <c r="W251" s="129">
        <v>3</v>
      </c>
    </row>
    <row r="252" spans="1:23" hidden="1" x14ac:dyDescent="0.3">
      <c r="A252" s="151" t="s">
        <v>349</v>
      </c>
      <c r="B252" s="152">
        <v>58</v>
      </c>
      <c r="C252" s="153" t="s">
        <v>31</v>
      </c>
      <c r="D252" s="154">
        <v>10114</v>
      </c>
      <c r="E252" s="153" t="s">
        <v>241</v>
      </c>
      <c r="F252" s="152" t="s">
        <v>209</v>
      </c>
      <c r="G252" s="152" t="s">
        <v>201</v>
      </c>
      <c r="H252" s="152" t="s">
        <v>201</v>
      </c>
      <c r="I252" s="152" t="s">
        <v>201</v>
      </c>
      <c r="J252" s="152" t="s">
        <v>15</v>
      </c>
      <c r="K252" s="152" t="s">
        <v>201</v>
      </c>
      <c r="L252" s="152" t="s">
        <v>209</v>
      </c>
      <c r="M252" s="152" t="s">
        <v>209</v>
      </c>
      <c r="N252" s="152">
        <v>5</v>
      </c>
      <c r="O252" s="152">
        <v>18</v>
      </c>
      <c r="P252" s="152">
        <v>65</v>
      </c>
      <c r="Q252" s="152">
        <v>91</v>
      </c>
      <c r="R252" s="152" t="s">
        <v>209</v>
      </c>
      <c r="S252" s="152" t="s">
        <v>78</v>
      </c>
      <c r="T252" s="152" t="s">
        <v>209</v>
      </c>
      <c r="U252" s="152" t="s">
        <v>209</v>
      </c>
      <c r="V252" s="152" t="s">
        <v>619</v>
      </c>
      <c r="W252" s="155">
        <v>5</v>
      </c>
    </row>
    <row r="253" spans="1:23" hidden="1" x14ac:dyDescent="0.3">
      <c r="A253" s="104" t="s">
        <v>350</v>
      </c>
      <c r="B253">
        <v>61</v>
      </c>
      <c r="C253" s="104" t="s">
        <v>30</v>
      </c>
      <c r="D253" s="105">
        <v>11000</v>
      </c>
      <c r="E253" s="104" t="s">
        <v>235</v>
      </c>
      <c r="F253" t="s">
        <v>209</v>
      </c>
      <c r="G253" t="s">
        <v>201</v>
      </c>
      <c r="H253" t="s">
        <v>201</v>
      </c>
      <c r="I253" t="s">
        <v>201</v>
      </c>
      <c r="J253" t="s">
        <v>78</v>
      </c>
      <c r="K253" t="s">
        <v>201</v>
      </c>
      <c r="L253" t="s">
        <v>209</v>
      </c>
      <c r="M253" t="s">
        <v>209</v>
      </c>
      <c r="N253">
        <v>15</v>
      </c>
      <c r="O253">
        <v>30</v>
      </c>
      <c r="P253">
        <v>5</v>
      </c>
      <c r="Q253">
        <v>70</v>
      </c>
      <c r="R253" t="s">
        <v>209</v>
      </c>
      <c r="S253" t="s">
        <v>78</v>
      </c>
      <c r="T253" t="s">
        <v>209</v>
      </c>
      <c r="U253" t="s">
        <v>209</v>
      </c>
      <c r="W253">
        <v>4</v>
      </c>
    </row>
    <row r="254" spans="1:23" hidden="1" x14ac:dyDescent="0.3">
      <c r="A254" s="104" t="s">
        <v>349</v>
      </c>
      <c r="B254">
        <v>61</v>
      </c>
      <c r="C254" s="104" t="s">
        <v>31</v>
      </c>
      <c r="D254" s="105">
        <v>7755</v>
      </c>
      <c r="E254" s="104" t="s">
        <v>241</v>
      </c>
      <c r="F254" t="s">
        <v>209</v>
      </c>
      <c r="G254" t="s">
        <v>201</v>
      </c>
      <c r="H254" t="s">
        <v>209</v>
      </c>
      <c r="I254" t="s">
        <v>209</v>
      </c>
      <c r="J254" t="s">
        <v>78</v>
      </c>
      <c r="K254" t="s">
        <v>201</v>
      </c>
      <c r="L254" t="s">
        <v>209</v>
      </c>
      <c r="M254" t="s">
        <v>209</v>
      </c>
      <c r="N254">
        <v>3</v>
      </c>
      <c r="O254">
        <v>30</v>
      </c>
      <c r="P254">
        <v>0</v>
      </c>
      <c r="Q254">
        <v>98</v>
      </c>
      <c r="R254" t="s">
        <v>209</v>
      </c>
      <c r="S254" t="s">
        <v>78</v>
      </c>
      <c r="T254" t="s">
        <v>209</v>
      </c>
      <c r="U254" t="s">
        <v>209</v>
      </c>
      <c r="V254" t="s">
        <v>629</v>
      </c>
      <c r="W254">
        <v>3</v>
      </c>
    </row>
    <row r="255" spans="1:23" hidden="1" x14ac:dyDescent="0.3">
      <c r="A255" s="104" t="s">
        <v>351</v>
      </c>
      <c r="B255" s="105">
        <v>61</v>
      </c>
      <c r="C255" s="104" t="s">
        <v>32</v>
      </c>
      <c r="D255">
        <v>7425</v>
      </c>
      <c r="E255" t="s">
        <v>241</v>
      </c>
      <c r="F255" t="s">
        <v>209</v>
      </c>
      <c r="G255" t="s">
        <v>201</v>
      </c>
      <c r="H255" t="s">
        <v>201</v>
      </c>
      <c r="I255" t="s">
        <v>201</v>
      </c>
      <c r="J255" t="s">
        <v>78</v>
      </c>
      <c r="K255" t="s">
        <v>209</v>
      </c>
      <c r="L255" t="s">
        <v>209</v>
      </c>
      <c r="M255" t="s">
        <v>209</v>
      </c>
      <c r="N255">
        <v>41</v>
      </c>
      <c r="O255">
        <v>0</v>
      </c>
      <c r="P255">
        <v>0</v>
      </c>
      <c r="Q255">
        <v>84</v>
      </c>
      <c r="R255" t="s">
        <v>201</v>
      </c>
      <c r="S255" t="s">
        <v>78</v>
      </c>
      <c r="T255" t="s">
        <v>209</v>
      </c>
      <c r="U255" t="s">
        <v>209</v>
      </c>
      <c r="V255" t="s">
        <v>630</v>
      </c>
      <c r="W255">
        <v>4</v>
      </c>
    </row>
    <row r="256" spans="1:23" x14ac:dyDescent="0.3">
      <c r="A256" s="104" t="s">
        <v>280</v>
      </c>
      <c r="B256">
        <v>68</v>
      </c>
      <c r="C256" s="104" t="s">
        <v>35</v>
      </c>
      <c r="D256" s="105">
        <v>9059</v>
      </c>
      <c r="E256" s="104" t="s">
        <v>239</v>
      </c>
      <c r="F256" t="s">
        <v>209</v>
      </c>
      <c r="G256" t="s">
        <v>201</v>
      </c>
      <c r="H256" t="s">
        <v>201</v>
      </c>
      <c r="I256" t="s">
        <v>201</v>
      </c>
      <c r="J256" t="s">
        <v>78</v>
      </c>
      <c r="K256" t="s">
        <v>201</v>
      </c>
      <c r="L256" t="s">
        <v>209</v>
      </c>
      <c r="M256" t="s">
        <v>209</v>
      </c>
      <c r="N256">
        <v>1</v>
      </c>
      <c r="O256">
        <v>6</v>
      </c>
      <c r="P256">
        <v>10</v>
      </c>
      <c r="Q256">
        <v>29</v>
      </c>
      <c r="R256" t="s">
        <v>209</v>
      </c>
      <c r="S256" t="s">
        <v>78</v>
      </c>
      <c r="T256" t="s">
        <v>209</v>
      </c>
      <c r="U256" t="s">
        <v>209</v>
      </c>
      <c r="W256">
        <v>2</v>
      </c>
    </row>
    <row r="257" spans="1:23" x14ac:dyDescent="0.3">
      <c r="A257" s="104" t="s">
        <v>356</v>
      </c>
      <c r="B257">
        <v>68</v>
      </c>
      <c r="C257" s="104" t="s">
        <v>32</v>
      </c>
      <c r="D257" s="105">
        <v>698</v>
      </c>
      <c r="E257" s="104" t="s">
        <v>241</v>
      </c>
      <c r="F257" t="s">
        <v>209</v>
      </c>
      <c r="G257" t="s">
        <v>201</v>
      </c>
      <c r="H257" t="s">
        <v>201</v>
      </c>
      <c r="I257" t="s">
        <v>201</v>
      </c>
      <c r="J257" t="s">
        <v>78</v>
      </c>
      <c r="K257" t="s">
        <v>209</v>
      </c>
      <c r="L257" t="s">
        <v>209</v>
      </c>
      <c r="M257" t="s">
        <v>209</v>
      </c>
      <c r="N257">
        <v>0</v>
      </c>
      <c r="O257">
        <v>0</v>
      </c>
      <c r="P257">
        <v>0</v>
      </c>
      <c r="Q257">
        <v>100</v>
      </c>
      <c r="R257" t="s">
        <v>209</v>
      </c>
      <c r="S257" t="s">
        <v>78</v>
      </c>
      <c r="T257" t="s">
        <v>209</v>
      </c>
      <c r="U257" t="s">
        <v>209</v>
      </c>
      <c r="V257" t="s">
        <v>653</v>
      </c>
      <c r="W257">
        <v>2</v>
      </c>
    </row>
    <row r="258" spans="1:23" hidden="1" x14ac:dyDescent="0.3">
      <c r="A258" s="104" t="s">
        <v>350</v>
      </c>
      <c r="B258">
        <v>62</v>
      </c>
      <c r="C258" s="104" t="s">
        <v>30</v>
      </c>
      <c r="D258" s="105">
        <v>2478</v>
      </c>
      <c r="E258" s="104" t="s">
        <v>235</v>
      </c>
      <c r="F258" t="s">
        <v>209</v>
      </c>
      <c r="G258" t="s">
        <v>201</v>
      </c>
      <c r="H258" t="s">
        <v>201</v>
      </c>
      <c r="I258" t="s">
        <v>201</v>
      </c>
      <c r="J258" t="s">
        <v>78</v>
      </c>
      <c r="K258" t="s">
        <v>201</v>
      </c>
      <c r="L258" t="s">
        <v>209</v>
      </c>
      <c r="M258" t="s">
        <v>209</v>
      </c>
      <c r="N258">
        <v>3</v>
      </c>
      <c r="O258">
        <v>0</v>
      </c>
      <c r="P258">
        <v>5</v>
      </c>
      <c r="Q258">
        <v>65</v>
      </c>
      <c r="R258" t="s">
        <v>209</v>
      </c>
      <c r="S258" t="s">
        <v>78</v>
      </c>
      <c r="T258" t="s">
        <v>201</v>
      </c>
      <c r="U258" t="s">
        <v>209</v>
      </c>
      <c r="W258">
        <v>3</v>
      </c>
    </row>
    <row r="259" spans="1:23" hidden="1" x14ac:dyDescent="0.3">
      <c r="A259" s="104" t="s">
        <v>356</v>
      </c>
      <c r="B259">
        <v>62</v>
      </c>
      <c r="C259" s="104" t="s">
        <v>32</v>
      </c>
      <c r="D259" s="105">
        <v>11176</v>
      </c>
      <c r="E259" s="104" t="s">
        <v>241</v>
      </c>
      <c r="F259" t="s">
        <v>209</v>
      </c>
      <c r="G259" t="s">
        <v>201</v>
      </c>
      <c r="H259" t="s">
        <v>209</v>
      </c>
      <c r="I259" t="s">
        <v>209</v>
      </c>
      <c r="J259" t="s">
        <v>78</v>
      </c>
      <c r="K259" t="s">
        <v>201</v>
      </c>
      <c r="L259" t="s">
        <v>209</v>
      </c>
      <c r="M259" t="s">
        <v>209</v>
      </c>
      <c r="N259">
        <v>4</v>
      </c>
      <c r="O259">
        <v>0</v>
      </c>
      <c r="P259">
        <v>0</v>
      </c>
      <c r="Q259">
        <v>77</v>
      </c>
      <c r="R259" t="s">
        <v>209</v>
      </c>
      <c r="S259" t="s">
        <v>78</v>
      </c>
      <c r="T259" t="s">
        <v>201</v>
      </c>
      <c r="U259" t="s">
        <v>209</v>
      </c>
      <c r="V259" t="s">
        <v>631</v>
      </c>
      <c r="W259">
        <v>3</v>
      </c>
    </row>
    <row r="260" spans="1:23" hidden="1" x14ac:dyDescent="0.3">
      <c r="A260" s="104" t="s">
        <v>349</v>
      </c>
      <c r="B260">
        <v>62</v>
      </c>
      <c r="C260" s="104" t="s">
        <v>31</v>
      </c>
      <c r="D260" s="105">
        <v>7426</v>
      </c>
      <c r="E260" s="104" t="s">
        <v>241</v>
      </c>
      <c r="F260" t="s">
        <v>209</v>
      </c>
      <c r="G260" t="s">
        <v>201</v>
      </c>
      <c r="H260" t="s">
        <v>201</v>
      </c>
      <c r="I260" t="s">
        <v>201</v>
      </c>
      <c r="J260" t="s">
        <v>78</v>
      </c>
      <c r="K260" t="s">
        <v>201</v>
      </c>
      <c r="L260" t="s">
        <v>201</v>
      </c>
      <c r="M260" t="s">
        <v>209</v>
      </c>
      <c r="N260">
        <v>0</v>
      </c>
      <c r="O260">
        <v>0</v>
      </c>
      <c r="P260">
        <v>60</v>
      </c>
      <c r="Q260">
        <v>89</v>
      </c>
      <c r="R260" t="s">
        <v>201</v>
      </c>
      <c r="S260" t="s">
        <v>78</v>
      </c>
      <c r="T260" t="s">
        <v>209</v>
      </c>
      <c r="U260" t="s">
        <v>209</v>
      </c>
      <c r="V260" t="s">
        <v>632</v>
      </c>
      <c r="W260">
        <v>4</v>
      </c>
    </row>
    <row r="261" spans="1:23" x14ac:dyDescent="0.3">
      <c r="A261" s="104" t="s">
        <v>349</v>
      </c>
      <c r="B261">
        <v>68</v>
      </c>
      <c r="C261" s="104" t="s">
        <v>31</v>
      </c>
      <c r="D261" s="105">
        <v>6352</v>
      </c>
      <c r="E261" s="104" t="s">
        <v>235</v>
      </c>
      <c r="F261" t="s">
        <v>209</v>
      </c>
      <c r="G261" t="s">
        <v>201</v>
      </c>
      <c r="H261" t="s">
        <v>209</v>
      </c>
      <c r="I261" t="s">
        <v>209</v>
      </c>
      <c r="J261" t="s">
        <v>78</v>
      </c>
      <c r="K261" t="s">
        <v>201</v>
      </c>
      <c r="L261" t="s">
        <v>209</v>
      </c>
      <c r="M261" t="s">
        <v>209</v>
      </c>
      <c r="N261">
        <v>4</v>
      </c>
      <c r="O261">
        <v>6</v>
      </c>
      <c r="P261">
        <v>40</v>
      </c>
      <c r="Q261">
        <v>91</v>
      </c>
      <c r="R261" t="s">
        <v>209</v>
      </c>
      <c r="S261" t="s">
        <v>78</v>
      </c>
      <c r="T261" t="s">
        <v>209</v>
      </c>
      <c r="U261" t="s">
        <v>209</v>
      </c>
      <c r="V261" t="s">
        <v>654</v>
      </c>
      <c r="W261">
        <v>3</v>
      </c>
    </row>
    <row r="262" spans="1:23" hidden="1" x14ac:dyDescent="0.3">
      <c r="A262" s="104" t="s">
        <v>350</v>
      </c>
      <c r="B262">
        <v>64</v>
      </c>
      <c r="C262" s="104" t="s">
        <v>30</v>
      </c>
      <c r="D262" s="105">
        <v>1410</v>
      </c>
      <c r="E262" s="104" t="s">
        <v>235</v>
      </c>
      <c r="F262" t="s">
        <v>209</v>
      </c>
      <c r="G262" t="s">
        <v>201</v>
      </c>
      <c r="H262" t="s">
        <v>201</v>
      </c>
      <c r="I262" t="s">
        <v>201</v>
      </c>
      <c r="J262" t="s">
        <v>78</v>
      </c>
      <c r="K262" t="s">
        <v>209</v>
      </c>
      <c r="L262" t="s">
        <v>209</v>
      </c>
      <c r="M262" t="s">
        <v>209</v>
      </c>
      <c r="N262">
        <v>0</v>
      </c>
      <c r="O262">
        <v>3</v>
      </c>
      <c r="P262">
        <v>5</v>
      </c>
      <c r="Q262">
        <v>70</v>
      </c>
      <c r="R262" t="s">
        <v>201</v>
      </c>
      <c r="S262" t="s">
        <v>78</v>
      </c>
      <c r="T262" t="s">
        <v>209</v>
      </c>
      <c r="U262" t="s">
        <v>209</v>
      </c>
      <c r="W262">
        <v>3</v>
      </c>
    </row>
    <row r="263" spans="1:23" hidden="1" x14ac:dyDescent="0.3">
      <c r="A263" s="104" t="s">
        <v>356</v>
      </c>
      <c r="B263">
        <v>63</v>
      </c>
      <c r="C263" s="104" t="s">
        <v>32</v>
      </c>
      <c r="D263" s="105">
        <v>991</v>
      </c>
      <c r="E263" s="104" t="s">
        <v>241</v>
      </c>
      <c r="F263" t="s">
        <v>209</v>
      </c>
      <c r="G263" t="s">
        <v>201</v>
      </c>
      <c r="H263" t="s">
        <v>201</v>
      </c>
      <c r="I263" t="s">
        <v>201</v>
      </c>
      <c r="J263" t="s">
        <v>78</v>
      </c>
      <c r="K263" t="s">
        <v>201</v>
      </c>
      <c r="L263" t="s">
        <v>209</v>
      </c>
      <c r="M263" t="s">
        <v>209</v>
      </c>
      <c r="N263">
        <v>63</v>
      </c>
      <c r="O263">
        <v>0</v>
      </c>
      <c r="P263">
        <v>0</v>
      </c>
      <c r="Q263">
        <v>93</v>
      </c>
      <c r="R263" t="s">
        <v>209</v>
      </c>
      <c r="S263" t="s">
        <v>78</v>
      </c>
      <c r="T263" t="s">
        <v>209</v>
      </c>
      <c r="U263" t="s">
        <v>209</v>
      </c>
      <c r="V263" t="s">
        <v>634</v>
      </c>
      <c r="W263">
        <v>5</v>
      </c>
    </row>
    <row r="264" spans="1:23" hidden="1" x14ac:dyDescent="0.3">
      <c r="A264" s="104" t="s">
        <v>349</v>
      </c>
      <c r="B264">
        <v>63</v>
      </c>
      <c r="C264" s="104" t="s">
        <v>31</v>
      </c>
      <c r="D264" s="105">
        <v>2486</v>
      </c>
      <c r="E264" s="104" t="s">
        <v>241</v>
      </c>
      <c r="F264" t="s">
        <v>209</v>
      </c>
      <c r="G264" t="s">
        <v>201</v>
      </c>
      <c r="H264" t="s">
        <v>201</v>
      </c>
      <c r="I264" t="s">
        <v>209</v>
      </c>
      <c r="J264" t="s">
        <v>78</v>
      </c>
      <c r="K264" t="s">
        <v>201</v>
      </c>
      <c r="L264" t="s">
        <v>209</v>
      </c>
      <c r="M264" t="s">
        <v>209</v>
      </c>
      <c r="N264">
        <v>0</v>
      </c>
      <c r="O264">
        <v>3</v>
      </c>
      <c r="P264">
        <v>35</v>
      </c>
      <c r="Q264">
        <v>80</v>
      </c>
      <c r="R264" t="s">
        <v>209</v>
      </c>
      <c r="S264" t="s">
        <v>78</v>
      </c>
      <c r="T264" t="s">
        <v>209</v>
      </c>
      <c r="U264" t="s">
        <v>209</v>
      </c>
      <c r="V264" t="s">
        <v>635</v>
      </c>
      <c r="W264">
        <v>3</v>
      </c>
    </row>
    <row r="265" spans="1:23" x14ac:dyDescent="0.3">
      <c r="A265" s="104" t="s">
        <v>350</v>
      </c>
      <c r="B265">
        <v>68</v>
      </c>
      <c r="C265" s="104" t="s">
        <v>30</v>
      </c>
      <c r="D265" s="105">
        <v>2122</v>
      </c>
      <c r="E265" s="104" t="s">
        <v>239</v>
      </c>
      <c r="F265" t="s">
        <v>209</v>
      </c>
      <c r="G265" t="s">
        <v>201</v>
      </c>
      <c r="H265" t="s">
        <v>201</v>
      </c>
      <c r="I265" t="s">
        <v>201</v>
      </c>
      <c r="J265" t="s">
        <v>78</v>
      </c>
      <c r="K265" t="s">
        <v>201</v>
      </c>
      <c r="L265" t="s">
        <v>209</v>
      </c>
      <c r="M265" t="s">
        <v>209</v>
      </c>
      <c r="N265">
        <v>0</v>
      </c>
      <c r="O265">
        <v>0</v>
      </c>
      <c r="P265">
        <v>290</v>
      </c>
      <c r="Q265">
        <v>90</v>
      </c>
      <c r="R265" t="s">
        <v>209</v>
      </c>
      <c r="S265" t="s">
        <v>78</v>
      </c>
      <c r="T265" t="s">
        <v>209</v>
      </c>
      <c r="U265" t="s">
        <v>209</v>
      </c>
      <c r="W265">
        <v>5</v>
      </c>
    </row>
    <row r="266" spans="1:23" x14ac:dyDescent="0.3">
      <c r="A266" s="104" t="s">
        <v>234</v>
      </c>
      <c r="B266">
        <v>69</v>
      </c>
      <c r="C266" s="104" t="s">
        <v>33</v>
      </c>
      <c r="D266" s="105">
        <v>991</v>
      </c>
      <c r="E266" s="104" t="s">
        <v>235</v>
      </c>
      <c r="F266" t="s">
        <v>209</v>
      </c>
      <c r="G266" t="s">
        <v>201</v>
      </c>
      <c r="H266" t="s">
        <v>201</v>
      </c>
      <c r="I266" t="s">
        <v>201</v>
      </c>
      <c r="J266" t="s">
        <v>236</v>
      </c>
      <c r="K266" t="s">
        <v>201</v>
      </c>
      <c r="L266" t="s">
        <v>209</v>
      </c>
      <c r="M266" t="s">
        <v>209</v>
      </c>
      <c r="N266">
        <v>0</v>
      </c>
      <c r="O266">
        <v>3</v>
      </c>
      <c r="P266">
        <v>55</v>
      </c>
      <c r="Q266">
        <v>77</v>
      </c>
      <c r="R266" t="s">
        <v>209</v>
      </c>
      <c r="S266" t="s">
        <v>78</v>
      </c>
      <c r="T266" t="s">
        <v>209</v>
      </c>
      <c r="U266" t="s">
        <v>209</v>
      </c>
      <c r="V266" t="s">
        <v>658</v>
      </c>
      <c r="W266">
        <v>5</v>
      </c>
    </row>
    <row r="267" spans="1:23" hidden="1" x14ac:dyDescent="0.3">
      <c r="A267" s="104" t="s">
        <v>350</v>
      </c>
      <c r="B267">
        <v>64</v>
      </c>
      <c r="C267" s="104" t="s">
        <v>30</v>
      </c>
      <c r="D267" s="105">
        <v>3944</v>
      </c>
      <c r="E267" s="104" t="s">
        <v>235</v>
      </c>
      <c r="F267" t="s">
        <v>209</v>
      </c>
      <c r="G267" t="s">
        <v>201</v>
      </c>
      <c r="H267" t="s">
        <v>209</v>
      </c>
      <c r="I267" t="s">
        <v>209</v>
      </c>
      <c r="J267" t="s">
        <v>78</v>
      </c>
      <c r="K267" t="s">
        <v>201</v>
      </c>
      <c r="L267" t="s">
        <v>209</v>
      </c>
      <c r="M267" t="s">
        <v>209</v>
      </c>
      <c r="N267">
        <v>3</v>
      </c>
      <c r="O267">
        <v>0</v>
      </c>
      <c r="P267">
        <v>0</v>
      </c>
      <c r="Q267">
        <v>65</v>
      </c>
      <c r="R267" t="s">
        <v>201</v>
      </c>
      <c r="S267" t="s">
        <v>78</v>
      </c>
      <c r="T267" t="s">
        <v>209</v>
      </c>
      <c r="U267" t="s">
        <v>209</v>
      </c>
      <c r="W267">
        <v>3</v>
      </c>
    </row>
    <row r="268" spans="1:23" hidden="1" x14ac:dyDescent="0.3">
      <c r="A268" s="104" t="s">
        <v>349</v>
      </c>
      <c r="B268">
        <v>64</v>
      </c>
      <c r="C268" s="104" t="s">
        <v>31</v>
      </c>
      <c r="D268" s="105">
        <v>60</v>
      </c>
      <c r="E268" s="104" t="s">
        <v>241</v>
      </c>
      <c r="F268" t="s">
        <v>209</v>
      </c>
      <c r="G268" t="s">
        <v>201</v>
      </c>
      <c r="H268" t="s">
        <v>209</v>
      </c>
      <c r="I268" t="s">
        <v>209</v>
      </c>
      <c r="J268" t="s">
        <v>78</v>
      </c>
      <c r="K268" t="s">
        <v>201</v>
      </c>
      <c r="L268" t="s">
        <v>209</v>
      </c>
      <c r="M268" t="s">
        <v>201</v>
      </c>
      <c r="N268">
        <v>5</v>
      </c>
      <c r="O268">
        <v>9</v>
      </c>
      <c r="P268">
        <v>30</v>
      </c>
      <c r="Q268">
        <v>45</v>
      </c>
      <c r="R268" t="s">
        <v>209</v>
      </c>
      <c r="S268" t="s">
        <v>78</v>
      </c>
      <c r="T268" t="s">
        <v>209</v>
      </c>
      <c r="U268" t="s">
        <v>209</v>
      </c>
      <c r="V268" t="s">
        <v>638</v>
      </c>
      <c r="W268">
        <v>3</v>
      </c>
    </row>
    <row r="269" spans="1:23" hidden="1" x14ac:dyDescent="0.3">
      <c r="A269" s="104" t="s">
        <v>351</v>
      </c>
      <c r="B269">
        <v>64</v>
      </c>
      <c r="C269" s="104" t="s">
        <v>32</v>
      </c>
      <c r="D269" s="105">
        <v>8717</v>
      </c>
      <c r="E269" s="104" t="s">
        <v>241</v>
      </c>
      <c r="F269" t="s">
        <v>209</v>
      </c>
      <c r="G269" t="s">
        <v>201</v>
      </c>
      <c r="H269" t="s">
        <v>209</v>
      </c>
      <c r="I269" t="s">
        <v>209</v>
      </c>
      <c r="J269" t="s">
        <v>236</v>
      </c>
      <c r="K269" t="s">
        <v>209</v>
      </c>
      <c r="L269" t="s">
        <v>209</v>
      </c>
      <c r="M269" t="s">
        <v>209</v>
      </c>
      <c r="N269">
        <v>37</v>
      </c>
      <c r="O269">
        <v>0</v>
      </c>
      <c r="P269">
        <v>0</v>
      </c>
      <c r="Q269">
        <v>24</v>
      </c>
      <c r="R269" t="s">
        <v>201</v>
      </c>
      <c r="S269" t="s">
        <v>78</v>
      </c>
      <c r="T269" t="s">
        <v>209</v>
      </c>
      <c r="U269" t="s">
        <v>209</v>
      </c>
      <c r="W269">
        <v>3</v>
      </c>
    </row>
    <row r="270" spans="1:23" x14ac:dyDescent="0.3">
      <c r="A270" s="104" t="s">
        <v>280</v>
      </c>
      <c r="B270">
        <v>69</v>
      </c>
      <c r="C270" s="104" t="s">
        <v>30</v>
      </c>
      <c r="D270" s="105">
        <v>8012</v>
      </c>
      <c r="E270" s="104" t="s">
        <v>241</v>
      </c>
      <c r="F270" t="s">
        <v>209</v>
      </c>
      <c r="G270" t="s">
        <v>201</v>
      </c>
      <c r="H270" t="s">
        <v>209</v>
      </c>
      <c r="I270" t="s">
        <v>209</v>
      </c>
      <c r="J270" t="s">
        <v>78</v>
      </c>
      <c r="K270" t="s">
        <v>209</v>
      </c>
      <c r="L270" t="s">
        <v>209</v>
      </c>
      <c r="M270" t="s">
        <v>209</v>
      </c>
      <c r="N270">
        <v>0</v>
      </c>
      <c r="O270">
        <v>0</v>
      </c>
      <c r="P270">
        <v>0</v>
      </c>
      <c r="Q270">
        <v>100</v>
      </c>
      <c r="R270" t="s">
        <v>209</v>
      </c>
      <c r="S270" t="s">
        <v>78</v>
      </c>
      <c r="T270" t="s">
        <v>209</v>
      </c>
      <c r="U270" t="s">
        <v>209</v>
      </c>
      <c r="V270" t="s">
        <v>659</v>
      </c>
      <c r="W270">
        <v>2</v>
      </c>
    </row>
    <row r="271" spans="1:23" hidden="1" x14ac:dyDescent="0.3">
      <c r="A271" s="104" t="s">
        <v>640</v>
      </c>
      <c r="B271">
        <v>65</v>
      </c>
      <c r="C271" s="104" t="s">
        <v>34</v>
      </c>
      <c r="D271" s="105">
        <v>10506</v>
      </c>
      <c r="E271" s="104" t="s">
        <v>239</v>
      </c>
      <c r="F271" t="s">
        <v>209</v>
      </c>
      <c r="G271" t="s">
        <v>209</v>
      </c>
      <c r="H271" t="s">
        <v>209</v>
      </c>
      <c r="I271" t="s">
        <v>209</v>
      </c>
      <c r="J271" t="s">
        <v>236</v>
      </c>
      <c r="K271" t="s">
        <v>201</v>
      </c>
      <c r="L271" t="s">
        <v>209</v>
      </c>
      <c r="M271" t="s">
        <v>209</v>
      </c>
      <c r="N271">
        <v>0</v>
      </c>
      <c r="O271">
        <v>0</v>
      </c>
      <c r="P271">
        <v>0</v>
      </c>
      <c r="Q271">
        <v>100</v>
      </c>
      <c r="R271" t="s">
        <v>209</v>
      </c>
      <c r="S271" t="s">
        <v>78</v>
      </c>
      <c r="T271" t="s">
        <v>209</v>
      </c>
      <c r="U271" t="s">
        <v>209</v>
      </c>
      <c r="V271" t="s">
        <v>641</v>
      </c>
      <c r="W271">
        <v>2</v>
      </c>
    </row>
    <row r="272" spans="1:23" x14ac:dyDescent="0.3">
      <c r="A272" s="104" t="s">
        <v>349</v>
      </c>
      <c r="B272">
        <v>69</v>
      </c>
      <c r="C272" s="104" t="s">
        <v>31</v>
      </c>
      <c r="D272" s="105">
        <v>244</v>
      </c>
      <c r="E272" s="104" t="s">
        <v>241</v>
      </c>
      <c r="F272" t="s">
        <v>209</v>
      </c>
      <c r="G272" t="s">
        <v>201</v>
      </c>
      <c r="H272" t="s">
        <v>209</v>
      </c>
      <c r="I272" t="s">
        <v>201</v>
      </c>
      <c r="J272" t="s">
        <v>78</v>
      </c>
      <c r="K272" t="s">
        <v>201</v>
      </c>
      <c r="L272" t="s">
        <v>209</v>
      </c>
      <c r="M272" t="s">
        <v>201</v>
      </c>
      <c r="N272">
        <v>2</v>
      </c>
      <c r="O272">
        <v>6</v>
      </c>
      <c r="P272">
        <v>35</v>
      </c>
      <c r="Q272">
        <v>21</v>
      </c>
      <c r="R272" t="s">
        <v>209</v>
      </c>
      <c r="S272" t="s">
        <v>78</v>
      </c>
      <c r="T272" t="s">
        <v>209</v>
      </c>
      <c r="U272" t="s">
        <v>209</v>
      </c>
      <c r="V272" t="s">
        <v>660</v>
      </c>
      <c r="W272">
        <v>2</v>
      </c>
    </row>
    <row r="273" spans="1:23" hidden="1" x14ac:dyDescent="0.3">
      <c r="A273" s="104" t="s">
        <v>351</v>
      </c>
      <c r="B273">
        <v>65</v>
      </c>
      <c r="C273" s="104" t="s">
        <v>30</v>
      </c>
      <c r="D273" s="105">
        <v>3245</v>
      </c>
      <c r="E273" s="104" t="s">
        <v>241</v>
      </c>
      <c r="F273" t="s">
        <v>209</v>
      </c>
      <c r="G273" t="s">
        <v>201</v>
      </c>
      <c r="H273" t="s">
        <v>201</v>
      </c>
      <c r="I273" t="s">
        <v>201</v>
      </c>
      <c r="J273" t="s">
        <v>236</v>
      </c>
      <c r="K273" t="s">
        <v>201</v>
      </c>
      <c r="L273" t="s">
        <v>209</v>
      </c>
      <c r="M273" t="s">
        <v>201</v>
      </c>
      <c r="N273">
        <v>45</v>
      </c>
      <c r="O273">
        <v>0</v>
      </c>
      <c r="P273">
        <v>0</v>
      </c>
      <c r="Q273">
        <v>73</v>
      </c>
      <c r="R273" t="s">
        <v>209</v>
      </c>
      <c r="S273" t="s">
        <v>78</v>
      </c>
      <c r="T273" t="s">
        <v>209</v>
      </c>
      <c r="U273" t="s">
        <v>209</v>
      </c>
      <c r="V273" t="s">
        <v>642</v>
      </c>
      <c r="W273">
        <v>4</v>
      </c>
    </row>
    <row r="274" spans="1:23" hidden="1" x14ac:dyDescent="0.3">
      <c r="A274" s="104" t="s">
        <v>349</v>
      </c>
      <c r="B274">
        <v>65</v>
      </c>
      <c r="C274" s="104" t="s">
        <v>31</v>
      </c>
      <c r="D274" s="105">
        <v>10933</v>
      </c>
      <c r="E274" s="104" t="s">
        <v>241</v>
      </c>
      <c r="F274" t="s">
        <v>209</v>
      </c>
      <c r="G274" t="s">
        <v>209</v>
      </c>
      <c r="H274" t="s">
        <v>209</v>
      </c>
      <c r="I274" t="s">
        <v>209</v>
      </c>
      <c r="J274" t="s">
        <v>78</v>
      </c>
      <c r="K274" t="s">
        <v>209</v>
      </c>
      <c r="L274" t="s">
        <v>209</v>
      </c>
      <c r="M274" t="s">
        <v>209</v>
      </c>
      <c r="N274">
        <v>0</v>
      </c>
      <c r="O274">
        <v>0</v>
      </c>
      <c r="P274">
        <v>0</v>
      </c>
      <c r="Q274">
        <v>100</v>
      </c>
      <c r="R274" t="s">
        <v>201</v>
      </c>
      <c r="S274" t="s">
        <v>78</v>
      </c>
      <c r="T274" t="s">
        <v>201</v>
      </c>
      <c r="U274" t="s">
        <v>209</v>
      </c>
      <c r="V274" t="s">
        <v>643</v>
      </c>
      <c r="W274">
        <v>5</v>
      </c>
    </row>
    <row r="275" spans="1:23" x14ac:dyDescent="0.3">
      <c r="A275" t="s">
        <v>234</v>
      </c>
      <c r="B275">
        <v>70</v>
      </c>
      <c r="C275" t="s">
        <v>34</v>
      </c>
      <c r="D275">
        <v>7333</v>
      </c>
      <c r="E275" t="s">
        <v>239</v>
      </c>
      <c r="F275" t="s">
        <v>209</v>
      </c>
      <c r="G275" t="s">
        <v>201</v>
      </c>
      <c r="H275" t="s">
        <v>201</v>
      </c>
      <c r="I275" t="s">
        <v>209</v>
      </c>
      <c r="J275" t="s">
        <v>236</v>
      </c>
      <c r="K275" t="s">
        <v>209</v>
      </c>
      <c r="L275" t="s">
        <v>209</v>
      </c>
      <c r="M275" t="s">
        <v>209</v>
      </c>
      <c r="N275">
        <v>4</v>
      </c>
      <c r="O275">
        <v>18</v>
      </c>
      <c r="P275">
        <v>65</v>
      </c>
      <c r="Q275">
        <v>68</v>
      </c>
      <c r="R275" t="s">
        <v>209</v>
      </c>
      <c r="S275" t="s">
        <v>78</v>
      </c>
      <c r="T275" t="s">
        <v>209</v>
      </c>
      <c r="U275" t="s">
        <v>209</v>
      </c>
      <c r="W275">
        <v>5</v>
      </c>
    </row>
    <row r="276" spans="1:23" hidden="1" x14ac:dyDescent="0.3">
      <c r="A276" s="104" t="s">
        <v>356</v>
      </c>
      <c r="B276">
        <v>66</v>
      </c>
      <c r="C276" s="104" t="s">
        <v>32</v>
      </c>
      <c r="D276" s="105">
        <v>4731</v>
      </c>
      <c r="E276" s="104" t="s">
        <v>241</v>
      </c>
      <c r="F276" t="s">
        <v>209</v>
      </c>
      <c r="G276" t="s">
        <v>201</v>
      </c>
      <c r="H276" t="s">
        <v>201</v>
      </c>
      <c r="I276" t="s">
        <v>201</v>
      </c>
      <c r="J276" t="s">
        <v>78</v>
      </c>
      <c r="K276" t="s">
        <v>201</v>
      </c>
      <c r="L276" t="s">
        <v>209</v>
      </c>
      <c r="M276" t="s">
        <v>209</v>
      </c>
      <c r="N276">
        <v>18</v>
      </c>
      <c r="O276">
        <v>0</v>
      </c>
      <c r="P276">
        <v>0</v>
      </c>
      <c r="Q276">
        <v>70</v>
      </c>
      <c r="R276" t="s">
        <v>209</v>
      </c>
      <c r="S276" t="s">
        <v>78</v>
      </c>
      <c r="T276" t="s">
        <v>209</v>
      </c>
      <c r="U276" t="s">
        <v>209</v>
      </c>
      <c r="V276" t="s">
        <v>646</v>
      </c>
      <c r="W276">
        <v>3</v>
      </c>
    </row>
    <row r="277" spans="1:23" hidden="1" x14ac:dyDescent="0.3">
      <c r="A277" s="104" t="s">
        <v>350</v>
      </c>
      <c r="B277">
        <v>66</v>
      </c>
      <c r="C277" s="104" t="s">
        <v>30</v>
      </c>
      <c r="D277" s="105">
        <v>10988</v>
      </c>
      <c r="E277" s="104" t="s">
        <v>235</v>
      </c>
      <c r="F277" t="s">
        <v>209</v>
      </c>
      <c r="G277" t="s">
        <v>201</v>
      </c>
      <c r="H277" t="s">
        <v>209</v>
      </c>
      <c r="I277" t="s">
        <v>201</v>
      </c>
      <c r="J277" t="s">
        <v>78</v>
      </c>
      <c r="K277" t="s">
        <v>201</v>
      </c>
      <c r="L277" t="s">
        <v>209</v>
      </c>
      <c r="M277" t="s">
        <v>209</v>
      </c>
      <c r="N277">
        <v>6</v>
      </c>
      <c r="O277">
        <v>0</v>
      </c>
      <c r="P277">
        <v>0</v>
      </c>
      <c r="Q277">
        <v>60</v>
      </c>
      <c r="R277" t="s">
        <v>201</v>
      </c>
      <c r="S277" t="s">
        <v>78</v>
      </c>
      <c r="T277" t="s">
        <v>209</v>
      </c>
      <c r="U277" t="s">
        <v>209</v>
      </c>
      <c r="W277">
        <v>2</v>
      </c>
    </row>
    <row r="278" spans="1:23" x14ac:dyDescent="0.3">
      <c r="A278" t="s">
        <v>350</v>
      </c>
      <c r="B278">
        <v>70</v>
      </c>
      <c r="C278" t="s">
        <v>30</v>
      </c>
      <c r="D278">
        <v>10905</v>
      </c>
      <c r="E278" t="s">
        <v>239</v>
      </c>
      <c r="F278" t="s">
        <v>209</v>
      </c>
      <c r="G278" t="s">
        <v>209</v>
      </c>
      <c r="H278" t="s">
        <v>201</v>
      </c>
      <c r="I278" t="s">
        <v>209</v>
      </c>
      <c r="J278" t="s">
        <v>78</v>
      </c>
      <c r="K278" t="s">
        <v>209</v>
      </c>
      <c r="L278" t="s">
        <v>209</v>
      </c>
      <c r="M278" t="s">
        <v>209</v>
      </c>
      <c r="N278">
        <v>0</v>
      </c>
      <c r="O278">
        <v>0</v>
      </c>
      <c r="P278">
        <v>0</v>
      </c>
      <c r="Q278">
        <v>100</v>
      </c>
      <c r="R278" t="s">
        <v>201</v>
      </c>
      <c r="S278" t="s">
        <v>78</v>
      </c>
      <c r="T278" t="s">
        <v>209</v>
      </c>
      <c r="U278" t="s">
        <v>209</v>
      </c>
      <c r="V278" t="s">
        <v>661</v>
      </c>
      <c r="W278">
        <v>3</v>
      </c>
    </row>
    <row r="279" spans="1:23" x14ac:dyDescent="0.3">
      <c r="A279" s="104" t="s">
        <v>356</v>
      </c>
      <c r="B279">
        <v>70</v>
      </c>
      <c r="C279" s="104" t="s">
        <v>32</v>
      </c>
      <c r="D279" s="105">
        <v>5933</v>
      </c>
      <c r="E279" s="104" t="s">
        <v>241</v>
      </c>
      <c r="F279" t="s">
        <v>209</v>
      </c>
      <c r="G279" t="s">
        <v>201</v>
      </c>
      <c r="H279" t="s">
        <v>201</v>
      </c>
      <c r="I279" t="s">
        <v>201</v>
      </c>
      <c r="J279" t="s">
        <v>78</v>
      </c>
      <c r="K279" t="s">
        <v>201</v>
      </c>
      <c r="L279" t="s">
        <v>209</v>
      </c>
      <c r="M279" t="s">
        <v>209</v>
      </c>
      <c r="N279">
        <v>31</v>
      </c>
      <c r="O279">
        <v>0</v>
      </c>
      <c r="P279">
        <v>0</v>
      </c>
      <c r="Q279">
        <v>100</v>
      </c>
      <c r="R279" t="s">
        <v>209</v>
      </c>
      <c r="S279" t="s">
        <v>78</v>
      </c>
      <c r="T279" t="s">
        <v>209</v>
      </c>
      <c r="U279" t="s">
        <v>209</v>
      </c>
      <c r="V279" t="s">
        <v>662</v>
      </c>
      <c r="W279">
        <v>5</v>
      </c>
    </row>
    <row r="280" spans="1:23" x14ac:dyDescent="0.3">
      <c r="A280" s="104" t="s">
        <v>378</v>
      </c>
      <c r="B280">
        <v>71</v>
      </c>
      <c r="C280" s="104" t="s">
        <v>30</v>
      </c>
      <c r="D280" s="105">
        <v>8717</v>
      </c>
      <c r="E280" s="104" t="s">
        <v>239</v>
      </c>
      <c r="F280" t="s">
        <v>209</v>
      </c>
      <c r="G280" t="s">
        <v>201</v>
      </c>
      <c r="H280" t="s">
        <v>201</v>
      </c>
      <c r="I280" t="s">
        <v>201</v>
      </c>
      <c r="J280" t="s">
        <v>78</v>
      </c>
      <c r="K280" t="s">
        <v>201</v>
      </c>
      <c r="L280" t="s">
        <v>209</v>
      </c>
      <c r="M280" t="s">
        <v>209</v>
      </c>
      <c r="N280">
        <v>0</v>
      </c>
      <c r="O280">
        <v>3</v>
      </c>
      <c r="P280">
        <v>15</v>
      </c>
      <c r="Q280">
        <v>38</v>
      </c>
      <c r="R280" t="s">
        <v>209</v>
      </c>
      <c r="S280" t="s">
        <v>78</v>
      </c>
      <c r="T280" t="s">
        <v>209</v>
      </c>
      <c r="U280" t="s">
        <v>209</v>
      </c>
      <c r="V280" t="s">
        <v>663</v>
      </c>
      <c r="W280">
        <v>3</v>
      </c>
    </row>
    <row r="281" spans="1:23" hidden="1" x14ac:dyDescent="0.3">
      <c r="A281" s="104" t="s">
        <v>349</v>
      </c>
      <c r="B281">
        <v>67</v>
      </c>
      <c r="C281" s="104" t="s">
        <v>31</v>
      </c>
      <c r="D281" s="105">
        <v>3424</v>
      </c>
      <c r="E281" s="104" t="s">
        <v>241</v>
      </c>
      <c r="F281" t="s">
        <v>209</v>
      </c>
      <c r="G281" t="s">
        <v>201</v>
      </c>
      <c r="H281" t="s">
        <v>209</v>
      </c>
      <c r="I281" t="s">
        <v>209</v>
      </c>
      <c r="J281" t="s">
        <v>78</v>
      </c>
      <c r="K281" t="s">
        <v>201</v>
      </c>
      <c r="L281" t="s">
        <v>209</v>
      </c>
      <c r="M281" t="s">
        <v>209</v>
      </c>
      <c r="N281">
        <v>2</v>
      </c>
      <c r="O281">
        <v>6</v>
      </c>
      <c r="P281">
        <v>5</v>
      </c>
      <c r="Q281">
        <v>77</v>
      </c>
      <c r="R281" t="s">
        <v>209</v>
      </c>
      <c r="S281" t="s">
        <v>78</v>
      </c>
      <c r="T281" t="s">
        <v>209</v>
      </c>
      <c r="U281" t="s">
        <v>209</v>
      </c>
      <c r="V281" t="s">
        <v>649</v>
      </c>
      <c r="W281">
        <v>3</v>
      </c>
    </row>
    <row r="282" spans="1:23" hidden="1" x14ac:dyDescent="0.3">
      <c r="A282" s="104" t="s">
        <v>356</v>
      </c>
      <c r="B282">
        <v>67</v>
      </c>
      <c r="C282" s="104" t="s">
        <v>32</v>
      </c>
      <c r="D282" s="105">
        <v>11100</v>
      </c>
      <c r="E282" s="104" t="s">
        <v>241</v>
      </c>
      <c r="F282" t="s">
        <v>209</v>
      </c>
      <c r="G282" t="s">
        <v>201</v>
      </c>
      <c r="H282" t="s">
        <v>201</v>
      </c>
      <c r="I282" t="s">
        <v>201</v>
      </c>
      <c r="J282" t="s">
        <v>78</v>
      </c>
      <c r="K282" t="s">
        <v>201</v>
      </c>
      <c r="L282" t="s">
        <v>201</v>
      </c>
      <c r="M282" t="s">
        <v>209</v>
      </c>
      <c r="N282">
        <v>31</v>
      </c>
      <c r="O282">
        <v>0</v>
      </c>
      <c r="P282">
        <v>0</v>
      </c>
      <c r="Q282">
        <v>82</v>
      </c>
      <c r="R282" t="s">
        <v>209</v>
      </c>
      <c r="S282" t="s">
        <v>78</v>
      </c>
      <c r="T282" t="s">
        <v>209</v>
      </c>
      <c r="U282" t="s">
        <v>209</v>
      </c>
      <c r="V282" t="s">
        <v>650</v>
      </c>
      <c r="W282">
        <v>4</v>
      </c>
    </row>
    <row r="283" spans="1:23" x14ac:dyDescent="0.3">
      <c r="A283" s="104" t="s">
        <v>349</v>
      </c>
      <c r="B283">
        <v>71</v>
      </c>
      <c r="C283" s="104" t="s">
        <v>31</v>
      </c>
      <c r="D283" s="105">
        <v>2840</v>
      </c>
      <c r="E283" s="104" t="s">
        <v>241</v>
      </c>
      <c r="F283" t="s">
        <v>209</v>
      </c>
      <c r="G283" t="s">
        <v>201</v>
      </c>
      <c r="H283" t="s">
        <v>209</v>
      </c>
      <c r="I283" t="s">
        <v>201</v>
      </c>
      <c r="J283" t="s">
        <v>78</v>
      </c>
      <c r="K283" t="s">
        <v>201</v>
      </c>
      <c r="L283" t="s">
        <v>209</v>
      </c>
      <c r="M283" t="s">
        <v>209</v>
      </c>
      <c r="N283">
        <v>3</v>
      </c>
      <c r="O283">
        <v>3</v>
      </c>
      <c r="P283">
        <v>35</v>
      </c>
      <c r="Q283">
        <v>97</v>
      </c>
      <c r="R283" t="s">
        <v>209</v>
      </c>
      <c r="S283" t="s">
        <v>78</v>
      </c>
      <c r="T283" t="s">
        <v>209</v>
      </c>
      <c r="U283" t="s">
        <v>209</v>
      </c>
      <c r="V283" t="s">
        <v>664</v>
      </c>
      <c r="W283">
        <v>3</v>
      </c>
    </row>
    <row r="284" spans="1:23" x14ac:dyDescent="0.3">
      <c r="A284" s="104" t="s">
        <v>234</v>
      </c>
      <c r="B284">
        <v>71</v>
      </c>
      <c r="C284" s="104" t="s">
        <v>32</v>
      </c>
      <c r="D284" s="105">
        <v>2662</v>
      </c>
      <c r="E284" s="104" t="s">
        <v>241</v>
      </c>
      <c r="F284" t="s">
        <v>209</v>
      </c>
      <c r="G284" t="s">
        <v>201</v>
      </c>
      <c r="H284" t="s">
        <v>209</v>
      </c>
      <c r="I284" t="s">
        <v>209</v>
      </c>
      <c r="J284" t="s">
        <v>236</v>
      </c>
      <c r="K284" t="s">
        <v>209</v>
      </c>
      <c r="L284" t="s">
        <v>209</v>
      </c>
      <c r="M284" t="s">
        <v>209</v>
      </c>
      <c r="N284">
        <v>0</v>
      </c>
      <c r="O284">
        <v>0</v>
      </c>
      <c r="P284">
        <v>0</v>
      </c>
      <c r="Q284">
        <v>100</v>
      </c>
      <c r="R284" t="s">
        <v>209</v>
      </c>
      <c r="S284" t="s">
        <v>78</v>
      </c>
      <c r="T284" t="s">
        <v>209</v>
      </c>
      <c r="U284" t="s">
        <v>209</v>
      </c>
      <c r="W284">
        <v>2</v>
      </c>
    </row>
    <row r="285" spans="1:23" x14ac:dyDescent="0.3">
      <c r="A285" s="104" t="s">
        <v>378</v>
      </c>
      <c r="B285">
        <v>72</v>
      </c>
      <c r="C285" s="104" t="s">
        <v>35</v>
      </c>
      <c r="D285">
        <v>7425</v>
      </c>
      <c r="E285" s="104" t="s">
        <v>241</v>
      </c>
      <c r="F285" t="s">
        <v>209</v>
      </c>
      <c r="G285" t="s">
        <v>201</v>
      </c>
      <c r="H285" t="s">
        <v>209</v>
      </c>
      <c r="I285" t="s">
        <v>209</v>
      </c>
      <c r="J285" t="s">
        <v>78</v>
      </c>
      <c r="K285" t="s">
        <v>201</v>
      </c>
      <c r="L285" t="s">
        <v>209</v>
      </c>
      <c r="M285" t="s">
        <v>209</v>
      </c>
      <c r="N285">
        <v>2</v>
      </c>
      <c r="O285">
        <v>18</v>
      </c>
      <c r="P285">
        <v>55</v>
      </c>
      <c r="Q285">
        <v>80</v>
      </c>
      <c r="R285" t="s">
        <v>209</v>
      </c>
      <c r="S285" t="s">
        <v>78</v>
      </c>
      <c r="T285" t="s">
        <v>209</v>
      </c>
      <c r="U285" t="s">
        <v>209</v>
      </c>
      <c r="V285" t="s">
        <v>665</v>
      </c>
      <c r="W285">
        <v>5</v>
      </c>
    </row>
    <row r="286" spans="1:23" x14ac:dyDescent="0.3">
      <c r="A286" t="s">
        <v>356</v>
      </c>
      <c r="B286">
        <v>72</v>
      </c>
      <c r="C286" t="s">
        <v>32</v>
      </c>
      <c r="D286">
        <v>10933</v>
      </c>
      <c r="E286" t="s">
        <v>241</v>
      </c>
      <c r="F286" t="s">
        <v>209</v>
      </c>
      <c r="G286" t="s">
        <v>201</v>
      </c>
      <c r="H286" t="s">
        <v>201</v>
      </c>
      <c r="I286" t="s">
        <v>201</v>
      </c>
      <c r="J286" t="s">
        <v>78</v>
      </c>
      <c r="K286" t="s">
        <v>209</v>
      </c>
      <c r="L286" t="s">
        <v>209</v>
      </c>
      <c r="M286" t="s">
        <v>209</v>
      </c>
      <c r="N286">
        <v>0</v>
      </c>
      <c r="O286">
        <v>0</v>
      </c>
      <c r="P286">
        <v>0</v>
      </c>
      <c r="Q286">
        <v>100</v>
      </c>
      <c r="R286" t="s">
        <v>201</v>
      </c>
      <c r="S286" t="s">
        <v>78</v>
      </c>
      <c r="T286" t="s">
        <v>209</v>
      </c>
      <c r="U286" t="s">
        <v>209</v>
      </c>
      <c r="V286" t="s">
        <v>666</v>
      </c>
      <c r="W286">
        <v>3</v>
      </c>
    </row>
    <row r="287" spans="1:23" x14ac:dyDescent="0.3">
      <c r="A287" t="s">
        <v>234</v>
      </c>
      <c r="B287">
        <v>72</v>
      </c>
      <c r="C287" t="s">
        <v>33</v>
      </c>
      <c r="D287">
        <v>10183</v>
      </c>
      <c r="E287" t="s">
        <v>235</v>
      </c>
      <c r="F287" t="s">
        <v>209</v>
      </c>
      <c r="G287" t="s">
        <v>201</v>
      </c>
      <c r="H287" t="s">
        <v>201</v>
      </c>
      <c r="I287" t="s">
        <v>209</v>
      </c>
      <c r="J287" t="s">
        <v>236</v>
      </c>
      <c r="K287" t="s">
        <v>209</v>
      </c>
      <c r="L287" t="s">
        <v>209</v>
      </c>
      <c r="M287" t="s">
        <v>209</v>
      </c>
      <c r="N287">
        <v>2</v>
      </c>
      <c r="O287">
        <v>12</v>
      </c>
      <c r="P287">
        <v>70</v>
      </c>
      <c r="Q287">
        <v>74</v>
      </c>
      <c r="R287" t="s">
        <v>209</v>
      </c>
      <c r="S287" t="s">
        <v>78</v>
      </c>
      <c r="T287" t="s">
        <v>209</v>
      </c>
      <c r="U287" t="s">
        <v>209</v>
      </c>
      <c r="W287">
        <v>5</v>
      </c>
    </row>
    <row r="288" spans="1:23" x14ac:dyDescent="0.3">
      <c r="A288" s="104" t="s">
        <v>349</v>
      </c>
      <c r="B288">
        <v>72</v>
      </c>
      <c r="C288" s="104" t="s">
        <v>31</v>
      </c>
      <c r="D288" s="105">
        <v>1410</v>
      </c>
      <c r="E288" s="104" t="s">
        <v>241</v>
      </c>
      <c r="F288" t="s">
        <v>209</v>
      </c>
      <c r="G288" t="s">
        <v>201</v>
      </c>
      <c r="H288" t="s">
        <v>201</v>
      </c>
      <c r="I288" t="s">
        <v>201</v>
      </c>
      <c r="J288" t="s">
        <v>78</v>
      </c>
      <c r="K288" t="s">
        <v>201</v>
      </c>
      <c r="L288" t="s">
        <v>209</v>
      </c>
      <c r="M288" t="s">
        <v>209</v>
      </c>
      <c r="N288">
        <v>0</v>
      </c>
      <c r="O288">
        <v>0</v>
      </c>
      <c r="P288">
        <v>0</v>
      </c>
      <c r="Q288">
        <v>100</v>
      </c>
      <c r="R288" t="s">
        <v>201</v>
      </c>
      <c r="S288" t="s">
        <v>78</v>
      </c>
      <c r="T288" t="s">
        <v>209</v>
      </c>
      <c r="U288" t="s">
        <v>209</v>
      </c>
      <c r="V288" t="s">
        <v>667</v>
      </c>
      <c r="W288">
        <v>5</v>
      </c>
    </row>
    <row r="289" spans="1:23" x14ac:dyDescent="0.3">
      <c r="A289" t="s">
        <v>350</v>
      </c>
      <c r="B289">
        <v>72</v>
      </c>
      <c r="C289" t="s">
        <v>30</v>
      </c>
      <c r="D289">
        <v>987</v>
      </c>
      <c r="E289" t="s">
        <v>235</v>
      </c>
      <c r="F289" t="s">
        <v>209</v>
      </c>
      <c r="G289" t="s">
        <v>209</v>
      </c>
      <c r="H289" t="s">
        <v>201</v>
      </c>
      <c r="I289" t="s">
        <v>201</v>
      </c>
      <c r="J289" t="s">
        <v>78</v>
      </c>
      <c r="K289" t="s">
        <v>201</v>
      </c>
      <c r="L289" t="s">
        <v>209</v>
      </c>
      <c r="M289" t="s">
        <v>209</v>
      </c>
      <c r="N289">
        <v>2</v>
      </c>
      <c r="O289">
        <v>15</v>
      </c>
      <c r="P289">
        <v>35</v>
      </c>
      <c r="Q289">
        <v>80</v>
      </c>
      <c r="R289" t="s">
        <v>209</v>
      </c>
      <c r="S289">
        <v>2</v>
      </c>
      <c r="T289" t="s">
        <v>209</v>
      </c>
      <c r="U289" t="s">
        <v>209</v>
      </c>
      <c r="W289">
        <v>5</v>
      </c>
    </row>
    <row r="290" spans="1:23" x14ac:dyDescent="0.3">
      <c r="A290" s="104" t="s">
        <v>378</v>
      </c>
      <c r="B290">
        <v>73</v>
      </c>
      <c r="C290" s="104" t="s">
        <v>35</v>
      </c>
      <c r="D290" s="105">
        <v>2478</v>
      </c>
      <c r="E290" s="104" t="s">
        <v>239</v>
      </c>
      <c r="F290" t="s">
        <v>209</v>
      </c>
      <c r="G290" t="s">
        <v>201</v>
      </c>
      <c r="H290" t="s">
        <v>201</v>
      </c>
      <c r="I290" t="s">
        <v>209</v>
      </c>
      <c r="J290" t="s">
        <v>78</v>
      </c>
      <c r="K290" t="s">
        <v>201</v>
      </c>
      <c r="L290" t="s">
        <v>209</v>
      </c>
      <c r="M290" t="s">
        <v>209</v>
      </c>
      <c r="N290">
        <v>6</v>
      </c>
      <c r="O290">
        <v>3</v>
      </c>
      <c r="P290">
        <v>5</v>
      </c>
      <c r="Q290">
        <v>25</v>
      </c>
      <c r="R290" t="s">
        <v>209</v>
      </c>
      <c r="S290" t="s">
        <v>78</v>
      </c>
      <c r="T290" t="s">
        <v>209</v>
      </c>
      <c r="U290" t="s">
        <v>209</v>
      </c>
      <c r="V290" t="s">
        <v>668</v>
      </c>
      <c r="W290">
        <v>2</v>
      </c>
    </row>
    <row r="291" spans="1:23" x14ac:dyDescent="0.3">
      <c r="A291" s="104" t="s">
        <v>349</v>
      </c>
      <c r="B291">
        <v>73</v>
      </c>
      <c r="C291" s="104" t="s">
        <v>31</v>
      </c>
      <c r="D291" s="105">
        <v>3216</v>
      </c>
      <c r="E291" s="104" t="s">
        <v>241</v>
      </c>
      <c r="F291" t="s">
        <v>209</v>
      </c>
      <c r="G291" t="s">
        <v>201</v>
      </c>
      <c r="H291" t="s">
        <v>201</v>
      </c>
      <c r="I291" t="s">
        <v>201</v>
      </c>
      <c r="J291" t="s">
        <v>78</v>
      </c>
      <c r="K291" t="s">
        <v>201</v>
      </c>
      <c r="L291" t="s">
        <v>209</v>
      </c>
      <c r="M291" t="s">
        <v>209</v>
      </c>
      <c r="N291">
        <v>0</v>
      </c>
      <c r="O291">
        <v>0</v>
      </c>
      <c r="P291">
        <v>80</v>
      </c>
      <c r="Q291">
        <v>92</v>
      </c>
      <c r="R291" t="s">
        <v>209</v>
      </c>
      <c r="S291" t="s">
        <v>78</v>
      </c>
      <c r="T291" t="s">
        <v>209</v>
      </c>
      <c r="U291" t="s">
        <v>209</v>
      </c>
      <c r="V291" t="s">
        <v>669</v>
      </c>
      <c r="W291">
        <v>4</v>
      </c>
    </row>
    <row r="292" spans="1:23" x14ac:dyDescent="0.3">
      <c r="A292" s="104" t="s">
        <v>238</v>
      </c>
      <c r="B292">
        <v>73</v>
      </c>
      <c r="C292" s="104" t="s">
        <v>33</v>
      </c>
      <c r="D292" s="105">
        <v>2080</v>
      </c>
      <c r="E292" s="104" t="s">
        <v>235</v>
      </c>
      <c r="F292" t="s">
        <v>209</v>
      </c>
      <c r="G292" t="s">
        <v>201</v>
      </c>
      <c r="H292" t="s">
        <v>209</v>
      </c>
      <c r="I292" t="s">
        <v>209</v>
      </c>
      <c r="J292" t="s">
        <v>78</v>
      </c>
      <c r="K292" t="s">
        <v>209</v>
      </c>
      <c r="L292" t="s">
        <v>209</v>
      </c>
      <c r="M292" t="s">
        <v>209</v>
      </c>
      <c r="N292">
        <v>0</v>
      </c>
      <c r="O292">
        <v>0</v>
      </c>
      <c r="P292">
        <v>0</v>
      </c>
      <c r="Q292">
        <v>1</v>
      </c>
      <c r="R292" t="s">
        <v>201</v>
      </c>
      <c r="S292" t="s">
        <v>80</v>
      </c>
      <c r="T292" t="s">
        <v>209</v>
      </c>
      <c r="U292" t="s">
        <v>209</v>
      </c>
      <c r="V292" t="s">
        <v>670</v>
      </c>
      <c r="W292">
        <v>2</v>
      </c>
    </row>
    <row r="293" spans="1:23" x14ac:dyDescent="0.3">
      <c r="A293" s="104" t="s">
        <v>234</v>
      </c>
      <c r="B293">
        <v>73</v>
      </c>
      <c r="C293" s="104" t="s">
        <v>32</v>
      </c>
      <c r="D293" s="105">
        <v>3944</v>
      </c>
      <c r="E293" s="104" t="s">
        <v>235</v>
      </c>
      <c r="F293" t="s">
        <v>209</v>
      </c>
      <c r="G293" t="s">
        <v>209</v>
      </c>
      <c r="H293" t="s">
        <v>209</v>
      </c>
      <c r="I293" t="s">
        <v>209</v>
      </c>
      <c r="J293" t="s">
        <v>236</v>
      </c>
      <c r="K293" t="s">
        <v>209</v>
      </c>
      <c r="L293" t="s">
        <v>209</v>
      </c>
      <c r="M293" t="s">
        <v>209</v>
      </c>
      <c r="N293">
        <v>2</v>
      </c>
      <c r="O293">
        <v>6</v>
      </c>
      <c r="P293">
        <v>0</v>
      </c>
      <c r="Q293">
        <v>82</v>
      </c>
      <c r="R293" t="s">
        <v>209</v>
      </c>
      <c r="S293" t="s">
        <v>80</v>
      </c>
      <c r="T293" t="s">
        <v>201</v>
      </c>
      <c r="U293" t="s">
        <v>209</v>
      </c>
      <c r="W293">
        <v>2</v>
      </c>
    </row>
    <row r="294" spans="1:23" x14ac:dyDescent="0.3">
      <c r="A294" s="48" t="s">
        <v>234</v>
      </c>
      <c r="B294" s="48">
        <v>74</v>
      </c>
      <c r="C294" s="48" t="s">
        <v>31</v>
      </c>
      <c r="D294" s="160">
        <v>2403</v>
      </c>
      <c r="E294" s="48" t="s">
        <v>235</v>
      </c>
      <c r="F294" s="48" t="s">
        <v>209</v>
      </c>
      <c r="G294" s="48" t="s">
        <v>209</v>
      </c>
      <c r="H294" s="48" t="s">
        <v>209</v>
      </c>
      <c r="I294" s="48" t="s">
        <v>201</v>
      </c>
      <c r="J294" s="48" t="s">
        <v>236</v>
      </c>
      <c r="K294" s="48" t="s">
        <v>201</v>
      </c>
      <c r="L294" s="48" t="s">
        <v>209</v>
      </c>
      <c r="M294" s="48" t="s">
        <v>209</v>
      </c>
      <c r="N294" s="161">
        <v>2</v>
      </c>
      <c r="O294" s="161">
        <v>12</v>
      </c>
      <c r="P294" s="161">
        <v>10</v>
      </c>
      <c r="Q294" s="48">
        <v>81</v>
      </c>
      <c r="R294" s="48" t="s">
        <v>209</v>
      </c>
      <c r="S294" s="48" t="s">
        <v>78</v>
      </c>
      <c r="T294" s="48" t="s">
        <v>209</v>
      </c>
      <c r="U294" s="48" t="s">
        <v>209</v>
      </c>
      <c r="V294" s="48"/>
      <c r="W294" s="48">
        <v>5</v>
      </c>
    </row>
    <row r="295" spans="1:23" x14ac:dyDescent="0.3">
      <c r="A295" s="104" t="s">
        <v>253</v>
      </c>
      <c r="B295">
        <v>74</v>
      </c>
      <c r="C295" s="104" t="s">
        <v>35</v>
      </c>
      <c r="D295" s="105">
        <v>6352</v>
      </c>
      <c r="E295" s="104" t="s">
        <v>241</v>
      </c>
      <c r="F295" t="s">
        <v>209</v>
      </c>
      <c r="G295" t="s">
        <v>201</v>
      </c>
      <c r="H295" t="s">
        <v>201</v>
      </c>
      <c r="I295" t="s">
        <v>201</v>
      </c>
      <c r="J295" t="s">
        <v>78</v>
      </c>
      <c r="K295" t="s">
        <v>201</v>
      </c>
      <c r="L295" t="s">
        <v>209</v>
      </c>
      <c r="M295" t="s">
        <v>209</v>
      </c>
      <c r="N295">
        <v>17</v>
      </c>
      <c r="O295">
        <v>3</v>
      </c>
      <c r="P295">
        <v>40</v>
      </c>
      <c r="Q295">
        <v>75</v>
      </c>
      <c r="R295" t="s">
        <v>209</v>
      </c>
      <c r="S295" t="s">
        <v>78</v>
      </c>
      <c r="T295" t="s">
        <v>209</v>
      </c>
      <c r="U295" t="s">
        <v>209</v>
      </c>
      <c r="W295">
        <v>4</v>
      </c>
    </row>
    <row r="296" spans="1:23" x14ac:dyDescent="0.3">
      <c r="A296" s="104" t="s">
        <v>350</v>
      </c>
      <c r="B296">
        <v>74</v>
      </c>
      <c r="C296" s="104" t="s">
        <v>30</v>
      </c>
      <c r="D296" s="105">
        <v>10380</v>
      </c>
      <c r="E296" s="104" t="s">
        <v>241</v>
      </c>
      <c r="F296" t="s">
        <v>209</v>
      </c>
      <c r="G296" t="s">
        <v>209</v>
      </c>
      <c r="H296" t="s">
        <v>209</v>
      </c>
      <c r="I296" t="s">
        <v>209</v>
      </c>
      <c r="J296" t="s">
        <v>78</v>
      </c>
      <c r="K296" t="s">
        <v>209</v>
      </c>
      <c r="L296" t="s">
        <v>209</v>
      </c>
      <c r="M296" t="s">
        <v>209</v>
      </c>
      <c r="N296">
        <v>0</v>
      </c>
      <c r="O296">
        <v>0</v>
      </c>
      <c r="P296">
        <v>0</v>
      </c>
      <c r="Q296">
        <v>100</v>
      </c>
      <c r="R296" t="s">
        <v>209</v>
      </c>
      <c r="S296" t="s">
        <v>78</v>
      </c>
      <c r="T296" t="s">
        <v>201</v>
      </c>
      <c r="U296" t="s">
        <v>209</v>
      </c>
      <c r="V296" t="s">
        <v>671</v>
      </c>
      <c r="W296">
        <v>1</v>
      </c>
    </row>
    <row r="297" spans="1:23" x14ac:dyDescent="0.3">
      <c r="A297" s="104" t="s">
        <v>356</v>
      </c>
      <c r="B297">
        <v>74</v>
      </c>
      <c r="C297" s="104" t="s">
        <v>32</v>
      </c>
      <c r="D297" s="105">
        <v>10506</v>
      </c>
      <c r="E297" s="104" t="s">
        <v>241</v>
      </c>
      <c r="F297" t="s">
        <v>209</v>
      </c>
      <c r="G297" t="s">
        <v>201</v>
      </c>
      <c r="H297" t="s">
        <v>209</v>
      </c>
      <c r="I297" t="s">
        <v>209</v>
      </c>
      <c r="J297" t="s">
        <v>78</v>
      </c>
      <c r="K297" t="s">
        <v>201</v>
      </c>
      <c r="L297" t="s">
        <v>209</v>
      </c>
      <c r="M297" t="s">
        <v>209</v>
      </c>
      <c r="N297">
        <v>4</v>
      </c>
      <c r="O297">
        <v>0</v>
      </c>
      <c r="P297">
        <v>0</v>
      </c>
      <c r="Q297">
        <v>40</v>
      </c>
      <c r="R297" t="s">
        <v>209</v>
      </c>
      <c r="S297" t="s">
        <v>78</v>
      </c>
      <c r="T297" t="s">
        <v>209</v>
      </c>
      <c r="U297" t="s">
        <v>209</v>
      </c>
      <c r="V297" t="s">
        <v>672</v>
      </c>
      <c r="W297">
        <v>4</v>
      </c>
    </row>
    <row r="298" spans="1:23" x14ac:dyDescent="0.3">
      <c r="A298" s="104" t="s">
        <v>238</v>
      </c>
      <c r="B298">
        <v>74</v>
      </c>
      <c r="C298" s="104" t="s">
        <v>34</v>
      </c>
      <c r="D298" s="105">
        <v>9501</v>
      </c>
      <c r="E298" s="104" t="s">
        <v>239</v>
      </c>
      <c r="F298" t="s">
        <v>209</v>
      </c>
      <c r="G298" t="s">
        <v>201</v>
      </c>
      <c r="H298" t="s">
        <v>209</v>
      </c>
      <c r="I298" t="s">
        <v>209</v>
      </c>
      <c r="K298" t="s">
        <v>201</v>
      </c>
      <c r="L298" t="s">
        <v>209</v>
      </c>
      <c r="M298" t="s">
        <v>209</v>
      </c>
      <c r="N298">
        <v>0</v>
      </c>
      <c r="O298">
        <v>0</v>
      </c>
      <c r="P298">
        <v>0</v>
      </c>
      <c r="Q298">
        <v>1</v>
      </c>
      <c r="R298" t="s">
        <v>209</v>
      </c>
      <c r="S298" t="s">
        <v>78</v>
      </c>
      <c r="T298" t="s">
        <v>209</v>
      </c>
      <c r="U298" t="s">
        <v>209</v>
      </c>
      <c r="V298" t="s">
        <v>673</v>
      </c>
      <c r="W298">
        <v>2</v>
      </c>
    </row>
    <row r="299" spans="1:23" x14ac:dyDescent="0.3">
      <c r="A299" t="s">
        <v>234</v>
      </c>
      <c r="B299">
        <v>75</v>
      </c>
      <c r="C299" t="s">
        <v>31</v>
      </c>
      <c r="D299">
        <v>8012</v>
      </c>
      <c r="E299" t="s">
        <v>241</v>
      </c>
      <c r="F299" t="s">
        <v>209</v>
      </c>
      <c r="G299" t="s">
        <v>201</v>
      </c>
      <c r="H299" t="s">
        <v>209</v>
      </c>
      <c r="I299" t="s">
        <v>209</v>
      </c>
      <c r="J299" t="s">
        <v>236</v>
      </c>
      <c r="K299" t="s">
        <v>201</v>
      </c>
      <c r="L299" t="s">
        <v>209</v>
      </c>
      <c r="M299" t="s">
        <v>209</v>
      </c>
      <c r="N299">
        <v>1</v>
      </c>
      <c r="O299">
        <v>6</v>
      </c>
      <c r="P299">
        <v>0</v>
      </c>
      <c r="Q299">
        <v>56</v>
      </c>
      <c r="R299" t="s">
        <v>209</v>
      </c>
      <c r="S299" t="s">
        <v>78</v>
      </c>
      <c r="T299" t="s">
        <v>209</v>
      </c>
      <c r="U299" t="s">
        <v>209</v>
      </c>
      <c r="W299">
        <v>3</v>
      </c>
    </row>
    <row r="300" spans="1:23" x14ac:dyDescent="0.3">
      <c r="A300" s="104" t="s">
        <v>253</v>
      </c>
      <c r="B300">
        <v>75</v>
      </c>
      <c r="C300" s="104" t="s">
        <v>33</v>
      </c>
      <c r="D300" s="105">
        <v>6479</v>
      </c>
      <c r="E300" s="104" t="s">
        <v>241</v>
      </c>
      <c r="F300" t="s">
        <v>209</v>
      </c>
      <c r="G300" t="s">
        <v>201</v>
      </c>
      <c r="H300" t="s">
        <v>201</v>
      </c>
      <c r="I300" t="s">
        <v>201</v>
      </c>
      <c r="J300" t="s">
        <v>78</v>
      </c>
      <c r="K300" t="s">
        <v>201</v>
      </c>
      <c r="L300" t="s">
        <v>209</v>
      </c>
      <c r="M300" t="s">
        <v>209</v>
      </c>
      <c r="N300">
        <v>0</v>
      </c>
      <c r="O300">
        <v>3</v>
      </c>
      <c r="P300">
        <v>50</v>
      </c>
      <c r="Q300">
        <v>70</v>
      </c>
      <c r="R300" t="s">
        <v>209</v>
      </c>
      <c r="S300" t="s">
        <v>78</v>
      </c>
      <c r="T300" t="s">
        <v>209</v>
      </c>
      <c r="U300" t="s">
        <v>209</v>
      </c>
      <c r="W300">
        <v>4</v>
      </c>
    </row>
    <row r="301" spans="1:23" x14ac:dyDescent="0.3">
      <c r="A301" s="104" t="s">
        <v>350</v>
      </c>
      <c r="B301">
        <v>75</v>
      </c>
      <c r="C301" s="104" t="s">
        <v>30</v>
      </c>
      <c r="D301" s="105">
        <v>288</v>
      </c>
      <c r="E301" s="104" t="s">
        <v>239</v>
      </c>
      <c r="F301" t="s">
        <v>209</v>
      </c>
      <c r="G301" t="s">
        <v>201</v>
      </c>
      <c r="H301" t="s">
        <v>209</v>
      </c>
      <c r="I301" t="s">
        <v>209</v>
      </c>
      <c r="J301" t="s">
        <v>78</v>
      </c>
      <c r="K301" t="s">
        <v>201</v>
      </c>
      <c r="L301" t="s">
        <v>209</v>
      </c>
      <c r="M301" t="s">
        <v>209</v>
      </c>
      <c r="N301">
        <v>0</v>
      </c>
      <c r="O301">
        <v>12</v>
      </c>
      <c r="P301">
        <v>5</v>
      </c>
      <c r="Q301">
        <v>67</v>
      </c>
      <c r="R301" t="s">
        <v>209</v>
      </c>
      <c r="S301" t="s">
        <v>78</v>
      </c>
      <c r="T301" t="s">
        <v>209</v>
      </c>
      <c r="U301" t="s">
        <v>209</v>
      </c>
      <c r="W301">
        <v>3</v>
      </c>
    </row>
    <row r="302" spans="1:23" x14ac:dyDescent="0.3">
      <c r="A302" s="104" t="s">
        <v>356</v>
      </c>
      <c r="B302">
        <v>75</v>
      </c>
      <c r="C302" s="104" t="s">
        <v>32</v>
      </c>
      <c r="D302" s="105">
        <v>9534</v>
      </c>
      <c r="E302" s="104" t="s">
        <v>241</v>
      </c>
      <c r="F302" t="s">
        <v>209</v>
      </c>
      <c r="G302" t="s">
        <v>209</v>
      </c>
      <c r="H302" t="s">
        <v>209</v>
      </c>
      <c r="I302" t="s">
        <v>209</v>
      </c>
      <c r="J302" t="s">
        <v>78</v>
      </c>
      <c r="K302" t="s">
        <v>209</v>
      </c>
      <c r="L302" t="s">
        <v>209</v>
      </c>
      <c r="M302" t="s">
        <v>209</v>
      </c>
      <c r="N302">
        <v>0</v>
      </c>
      <c r="O302">
        <v>0</v>
      </c>
      <c r="P302">
        <v>0</v>
      </c>
      <c r="Q302">
        <v>100</v>
      </c>
      <c r="R302" t="s">
        <v>201</v>
      </c>
      <c r="S302" t="s">
        <v>78</v>
      </c>
      <c r="T302" t="s">
        <v>209</v>
      </c>
      <c r="U302" t="s">
        <v>209</v>
      </c>
      <c r="V302" t="s">
        <v>674</v>
      </c>
      <c r="W302">
        <v>5</v>
      </c>
    </row>
    <row r="303" spans="1:23" x14ac:dyDescent="0.3">
      <c r="A303" s="104" t="s">
        <v>238</v>
      </c>
      <c r="B303">
        <v>75</v>
      </c>
      <c r="C303" s="104" t="s">
        <v>34</v>
      </c>
      <c r="D303" s="105">
        <v>2122</v>
      </c>
      <c r="E303" s="104" t="s">
        <v>235</v>
      </c>
      <c r="F303" t="s">
        <v>209</v>
      </c>
      <c r="G303" t="s">
        <v>201</v>
      </c>
      <c r="H303" t="s">
        <v>201</v>
      </c>
      <c r="I303" t="s">
        <v>201</v>
      </c>
      <c r="J303" t="s">
        <v>78</v>
      </c>
      <c r="K303" t="s">
        <v>201</v>
      </c>
      <c r="L303" t="s">
        <v>209</v>
      </c>
      <c r="M303" t="s">
        <v>209</v>
      </c>
      <c r="N303">
        <v>0</v>
      </c>
      <c r="O303">
        <v>0</v>
      </c>
      <c r="P303">
        <v>200</v>
      </c>
      <c r="Q303">
        <v>95</v>
      </c>
      <c r="R303" t="s">
        <v>209</v>
      </c>
      <c r="S303" t="s">
        <v>78</v>
      </c>
      <c r="T303" t="s">
        <v>209</v>
      </c>
      <c r="U303" t="s">
        <v>209</v>
      </c>
      <c r="W303">
        <v>5</v>
      </c>
    </row>
    <row r="304" spans="1:23" x14ac:dyDescent="0.3">
      <c r="A304" t="s">
        <v>234</v>
      </c>
      <c r="B304">
        <v>76</v>
      </c>
      <c r="C304" t="s">
        <v>30</v>
      </c>
      <c r="D304">
        <v>7333</v>
      </c>
      <c r="E304" t="s">
        <v>239</v>
      </c>
      <c r="F304" t="s">
        <v>209</v>
      </c>
      <c r="G304" t="s">
        <v>201</v>
      </c>
      <c r="H304" t="s">
        <v>201</v>
      </c>
      <c r="I304" t="s">
        <v>201</v>
      </c>
      <c r="J304" t="s">
        <v>236</v>
      </c>
      <c r="K304" t="s">
        <v>209</v>
      </c>
      <c r="L304" t="s">
        <v>209</v>
      </c>
      <c r="M304" t="s">
        <v>209</v>
      </c>
      <c r="N304">
        <v>1</v>
      </c>
      <c r="O304">
        <v>3</v>
      </c>
      <c r="P304">
        <v>40</v>
      </c>
      <c r="Q304">
        <v>82</v>
      </c>
      <c r="R304" t="s">
        <v>209</v>
      </c>
      <c r="S304" t="s">
        <v>78</v>
      </c>
      <c r="T304" t="s">
        <v>209</v>
      </c>
      <c r="U304" t="s">
        <v>209</v>
      </c>
      <c r="W304">
        <v>5</v>
      </c>
    </row>
    <row r="305" spans="1:23" x14ac:dyDescent="0.3">
      <c r="A305" s="104" t="s">
        <v>356</v>
      </c>
      <c r="B305">
        <v>76</v>
      </c>
      <c r="C305" s="104" t="s">
        <v>32</v>
      </c>
      <c r="D305" s="105">
        <v>1828</v>
      </c>
      <c r="E305" s="104" t="s">
        <v>241</v>
      </c>
      <c r="F305" t="s">
        <v>209</v>
      </c>
      <c r="G305" t="s">
        <v>201</v>
      </c>
      <c r="H305" t="s">
        <v>201</v>
      </c>
      <c r="I305" t="s">
        <v>201</v>
      </c>
      <c r="J305" t="s">
        <v>78</v>
      </c>
      <c r="K305" t="s">
        <v>201</v>
      </c>
      <c r="L305" t="s">
        <v>209</v>
      </c>
      <c r="M305" t="s">
        <v>209</v>
      </c>
      <c r="N305">
        <v>48</v>
      </c>
      <c r="O305">
        <v>0</v>
      </c>
      <c r="P305">
        <v>0</v>
      </c>
      <c r="Q305">
        <v>81</v>
      </c>
      <c r="R305" t="s">
        <v>209</v>
      </c>
      <c r="S305" t="s">
        <v>78</v>
      </c>
      <c r="T305" t="s">
        <v>209</v>
      </c>
      <c r="U305" t="s">
        <v>209</v>
      </c>
      <c r="V305" t="s">
        <v>675</v>
      </c>
      <c r="W305">
        <v>4</v>
      </c>
    </row>
    <row r="306" spans="1:23" x14ac:dyDescent="0.3">
      <c r="A306" s="104" t="s">
        <v>349</v>
      </c>
      <c r="B306">
        <v>76</v>
      </c>
      <c r="C306" s="104" t="s">
        <v>31</v>
      </c>
      <c r="D306" s="105">
        <v>10988</v>
      </c>
      <c r="E306" s="104" t="s">
        <v>241</v>
      </c>
      <c r="F306" t="s">
        <v>209</v>
      </c>
      <c r="G306" t="s">
        <v>201</v>
      </c>
      <c r="H306" t="s">
        <v>209</v>
      </c>
      <c r="I306" t="s">
        <v>209</v>
      </c>
      <c r="J306" t="s">
        <v>78</v>
      </c>
      <c r="K306" t="s">
        <v>201</v>
      </c>
      <c r="L306" t="s">
        <v>209</v>
      </c>
      <c r="M306" t="s">
        <v>209</v>
      </c>
      <c r="N306">
        <v>2</v>
      </c>
      <c r="O306">
        <v>0</v>
      </c>
      <c r="P306">
        <v>0</v>
      </c>
      <c r="Q306">
        <v>100</v>
      </c>
      <c r="R306" t="s">
        <v>209</v>
      </c>
      <c r="S306" t="s">
        <v>78</v>
      </c>
      <c r="T306" t="s">
        <v>209</v>
      </c>
      <c r="U306" t="s">
        <v>209</v>
      </c>
      <c r="V306" t="s">
        <v>676</v>
      </c>
      <c r="W306">
        <v>2</v>
      </c>
    </row>
    <row r="307" spans="1:23" x14ac:dyDescent="0.3">
      <c r="A307" t="s">
        <v>378</v>
      </c>
      <c r="B307">
        <v>77</v>
      </c>
      <c r="C307" t="s">
        <v>34</v>
      </c>
      <c r="D307">
        <v>4731</v>
      </c>
      <c r="E307" t="s">
        <v>241</v>
      </c>
      <c r="F307" t="s">
        <v>209</v>
      </c>
      <c r="G307" t="s">
        <v>201</v>
      </c>
      <c r="H307" t="s">
        <v>201</v>
      </c>
      <c r="I307" t="s">
        <v>201</v>
      </c>
      <c r="J307" t="s">
        <v>78</v>
      </c>
      <c r="K307" t="s">
        <v>201</v>
      </c>
      <c r="L307" t="s">
        <v>209</v>
      </c>
      <c r="M307" t="s">
        <v>209</v>
      </c>
      <c r="N307">
        <v>2</v>
      </c>
      <c r="O307">
        <v>9</v>
      </c>
      <c r="P307">
        <v>55</v>
      </c>
      <c r="Q307">
        <v>82</v>
      </c>
      <c r="R307" t="s">
        <v>209</v>
      </c>
      <c r="S307" t="s">
        <v>78</v>
      </c>
      <c r="T307" t="s">
        <v>209</v>
      </c>
      <c r="U307" t="s">
        <v>209</v>
      </c>
      <c r="V307" t="s">
        <v>678</v>
      </c>
      <c r="W307">
        <v>5</v>
      </c>
    </row>
    <row r="308" spans="1:23" x14ac:dyDescent="0.3">
      <c r="A308" t="s">
        <v>356</v>
      </c>
      <c r="B308">
        <v>77</v>
      </c>
      <c r="C308" t="s">
        <v>32</v>
      </c>
      <c r="D308">
        <v>7755</v>
      </c>
      <c r="E308" t="s">
        <v>241</v>
      </c>
      <c r="F308" t="s">
        <v>209</v>
      </c>
      <c r="G308" t="s">
        <v>201</v>
      </c>
      <c r="H308" t="s">
        <v>201</v>
      </c>
      <c r="I308" t="s">
        <v>209</v>
      </c>
      <c r="J308" t="s">
        <v>78</v>
      </c>
      <c r="K308" t="s">
        <v>201</v>
      </c>
      <c r="L308" t="s">
        <v>209</v>
      </c>
      <c r="M308" t="s">
        <v>209</v>
      </c>
      <c r="N308">
        <v>30</v>
      </c>
      <c r="O308">
        <v>0</v>
      </c>
      <c r="P308">
        <v>0</v>
      </c>
      <c r="Q308">
        <v>100</v>
      </c>
      <c r="R308" t="s">
        <v>209</v>
      </c>
      <c r="S308" t="s">
        <v>78</v>
      </c>
      <c r="T308" t="s">
        <v>209</v>
      </c>
      <c r="U308" t="s">
        <v>209</v>
      </c>
      <c r="V308" t="s">
        <v>675</v>
      </c>
      <c r="W308">
        <v>3</v>
      </c>
    </row>
    <row r="309" spans="1:23" x14ac:dyDescent="0.3">
      <c r="A309" s="104" t="s">
        <v>349</v>
      </c>
      <c r="B309">
        <v>77</v>
      </c>
      <c r="C309" s="104" t="s">
        <v>31</v>
      </c>
      <c r="D309" s="105">
        <v>9091</v>
      </c>
      <c r="E309" s="104" t="s">
        <v>241</v>
      </c>
      <c r="F309" t="s">
        <v>209</v>
      </c>
      <c r="G309" t="s">
        <v>201</v>
      </c>
      <c r="H309" t="s">
        <v>209</v>
      </c>
      <c r="I309" t="s">
        <v>209</v>
      </c>
      <c r="J309" t="s">
        <v>78</v>
      </c>
      <c r="K309" t="s">
        <v>201</v>
      </c>
      <c r="L309" t="s">
        <v>209</v>
      </c>
      <c r="M309" t="s">
        <v>209</v>
      </c>
      <c r="N309">
        <v>0</v>
      </c>
      <c r="O309">
        <v>0</v>
      </c>
      <c r="P309">
        <v>0</v>
      </c>
      <c r="Q309">
        <v>100</v>
      </c>
      <c r="R309" t="s">
        <v>209</v>
      </c>
      <c r="S309" t="s">
        <v>78</v>
      </c>
      <c r="T309" t="s">
        <v>209</v>
      </c>
      <c r="U309" t="s">
        <v>209</v>
      </c>
      <c r="V309" t="s">
        <v>679</v>
      </c>
      <c r="W309">
        <v>3</v>
      </c>
    </row>
    <row r="310" spans="1:23" x14ac:dyDescent="0.3">
      <c r="A310" s="104" t="s">
        <v>253</v>
      </c>
      <c r="B310">
        <v>77</v>
      </c>
      <c r="C310" s="104" t="s">
        <v>35</v>
      </c>
      <c r="D310" s="105">
        <v>3019</v>
      </c>
      <c r="E310" s="104" t="s">
        <v>241</v>
      </c>
      <c r="F310" t="s">
        <v>209</v>
      </c>
      <c r="G310" t="s">
        <v>201</v>
      </c>
      <c r="H310" t="s">
        <v>209</v>
      </c>
      <c r="I310" t="s">
        <v>201</v>
      </c>
      <c r="J310" t="s">
        <v>78</v>
      </c>
      <c r="K310" t="s">
        <v>201</v>
      </c>
      <c r="L310" t="s">
        <v>209</v>
      </c>
      <c r="M310" t="s">
        <v>209</v>
      </c>
      <c r="N310">
        <v>22</v>
      </c>
      <c r="O310">
        <v>0</v>
      </c>
      <c r="P310">
        <v>15</v>
      </c>
      <c r="Q310">
        <v>80</v>
      </c>
      <c r="R310" t="s">
        <v>209</v>
      </c>
      <c r="S310" t="s">
        <v>78</v>
      </c>
      <c r="T310" t="s">
        <v>209</v>
      </c>
      <c r="U310" t="s">
        <v>209</v>
      </c>
      <c r="W310">
        <v>4</v>
      </c>
    </row>
    <row r="311" spans="1:23" x14ac:dyDescent="0.3">
      <c r="A311" s="104" t="s">
        <v>238</v>
      </c>
      <c r="B311">
        <v>77</v>
      </c>
      <c r="C311" s="104" t="s">
        <v>30</v>
      </c>
      <c r="D311" s="105">
        <v>9777</v>
      </c>
      <c r="E311" s="104" t="s">
        <v>235</v>
      </c>
      <c r="F311" t="s">
        <v>209</v>
      </c>
      <c r="G311" t="s">
        <v>209</v>
      </c>
      <c r="H311" t="s">
        <v>209</v>
      </c>
      <c r="I311" t="s">
        <v>209</v>
      </c>
      <c r="J311" t="s">
        <v>78</v>
      </c>
      <c r="K311" t="s">
        <v>209</v>
      </c>
      <c r="L311" t="s">
        <v>209</v>
      </c>
      <c r="M311" t="s">
        <v>209</v>
      </c>
      <c r="N311">
        <v>0</v>
      </c>
      <c r="O311">
        <v>0</v>
      </c>
      <c r="P311">
        <v>0</v>
      </c>
      <c r="Q311">
        <v>1</v>
      </c>
      <c r="R311" t="s">
        <v>209</v>
      </c>
      <c r="S311" t="s">
        <v>78</v>
      </c>
      <c r="T311" t="s">
        <v>209</v>
      </c>
      <c r="U311" t="s">
        <v>209</v>
      </c>
      <c r="V311" t="s">
        <v>680</v>
      </c>
      <c r="W311">
        <v>2</v>
      </c>
    </row>
    <row r="312" spans="1:23" x14ac:dyDescent="0.3">
      <c r="A312" t="s">
        <v>349</v>
      </c>
      <c r="B312">
        <v>78</v>
      </c>
      <c r="C312" t="s">
        <v>31</v>
      </c>
      <c r="D312">
        <v>2662</v>
      </c>
      <c r="E312" t="s">
        <v>241</v>
      </c>
      <c r="F312" t="s">
        <v>201</v>
      </c>
      <c r="G312" t="s">
        <v>201</v>
      </c>
      <c r="H312" t="s">
        <v>209</v>
      </c>
      <c r="I312" t="s">
        <v>209</v>
      </c>
      <c r="J312" t="s">
        <v>78</v>
      </c>
      <c r="K312" t="s">
        <v>209</v>
      </c>
      <c r="L312" t="s">
        <v>209</v>
      </c>
      <c r="M312" t="s">
        <v>209</v>
      </c>
      <c r="N312">
        <v>0</v>
      </c>
      <c r="O312">
        <v>0</v>
      </c>
      <c r="P312">
        <v>0</v>
      </c>
      <c r="Q312">
        <v>100</v>
      </c>
      <c r="R312" t="s">
        <v>209</v>
      </c>
      <c r="S312" t="s">
        <v>78</v>
      </c>
      <c r="T312" t="s">
        <v>209</v>
      </c>
      <c r="U312" t="s">
        <v>209</v>
      </c>
      <c r="W312">
        <v>3</v>
      </c>
    </row>
    <row r="313" spans="1:23" x14ac:dyDescent="0.3">
      <c r="A313" t="s">
        <v>350</v>
      </c>
      <c r="B313">
        <v>78</v>
      </c>
      <c r="C313" t="s">
        <v>30</v>
      </c>
      <c r="D313">
        <v>244</v>
      </c>
      <c r="E313" t="s">
        <v>239</v>
      </c>
      <c r="F313" t="s">
        <v>209</v>
      </c>
      <c r="G313" t="s">
        <v>201</v>
      </c>
      <c r="H313" t="s">
        <v>209</v>
      </c>
      <c r="I313" t="s">
        <v>209</v>
      </c>
      <c r="J313" t="s">
        <v>78</v>
      </c>
      <c r="K313" t="s">
        <v>209</v>
      </c>
      <c r="L313" t="s">
        <v>209</v>
      </c>
      <c r="M313" t="s">
        <v>209</v>
      </c>
      <c r="N313">
        <v>3</v>
      </c>
      <c r="O313">
        <v>3</v>
      </c>
      <c r="P313">
        <v>0</v>
      </c>
      <c r="Q313">
        <v>40</v>
      </c>
      <c r="R313" t="s">
        <v>209</v>
      </c>
      <c r="S313" t="s">
        <v>78</v>
      </c>
      <c r="T313" t="s">
        <v>209</v>
      </c>
      <c r="U313" t="s">
        <v>209</v>
      </c>
      <c r="W313">
        <v>2</v>
      </c>
    </row>
    <row r="314" spans="1:23" x14ac:dyDescent="0.3">
      <c r="A314" s="104" t="s">
        <v>283</v>
      </c>
      <c r="B314">
        <v>78</v>
      </c>
      <c r="C314" s="104" t="s">
        <v>35</v>
      </c>
      <c r="D314" s="105">
        <v>10933</v>
      </c>
      <c r="E314" s="104" t="s">
        <v>235</v>
      </c>
      <c r="F314" t="s">
        <v>209</v>
      </c>
      <c r="G314" t="s">
        <v>201</v>
      </c>
      <c r="H314" t="s">
        <v>209</v>
      </c>
      <c r="I314" t="s">
        <v>209</v>
      </c>
      <c r="J314" t="s">
        <v>78</v>
      </c>
      <c r="K314" t="s">
        <v>201</v>
      </c>
      <c r="L314" t="s">
        <v>209</v>
      </c>
      <c r="M314" t="s">
        <v>209</v>
      </c>
      <c r="N314">
        <v>0</v>
      </c>
      <c r="O314">
        <v>0</v>
      </c>
      <c r="P314">
        <v>0</v>
      </c>
      <c r="Q314">
        <v>100</v>
      </c>
      <c r="R314" t="s">
        <v>201</v>
      </c>
      <c r="S314" t="s">
        <v>78</v>
      </c>
      <c r="T314" t="s">
        <v>209</v>
      </c>
      <c r="U314" t="s">
        <v>209</v>
      </c>
      <c r="V314" t="s">
        <v>681</v>
      </c>
      <c r="W314">
        <v>4</v>
      </c>
    </row>
    <row r="315" spans="1:23" x14ac:dyDescent="0.3">
      <c r="A315" s="104" t="s">
        <v>238</v>
      </c>
      <c r="B315">
        <v>78</v>
      </c>
      <c r="C315" s="104" t="s">
        <v>34</v>
      </c>
      <c r="D315" s="105">
        <v>7425</v>
      </c>
      <c r="E315" s="104" t="s">
        <v>239</v>
      </c>
      <c r="F315" t="s">
        <v>209</v>
      </c>
      <c r="G315" t="s">
        <v>201</v>
      </c>
      <c r="H315" t="s">
        <v>201</v>
      </c>
      <c r="I315" t="s">
        <v>201</v>
      </c>
      <c r="K315" t="s">
        <v>209</v>
      </c>
      <c r="L315" t="s">
        <v>209</v>
      </c>
      <c r="M315" t="s">
        <v>209</v>
      </c>
      <c r="N315">
        <v>5</v>
      </c>
      <c r="O315">
        <v>3</v>
      </c>
      <c r="P315">
        <v>75</v>
      </c>
      <c r="Q315">
        <v>75</v>
      </c>
      <c r="R315" t="s">
        <v>209</v>
      </c>
      <c r="S315" t="s">
        <v>78</v>
      </c>
      <c r="T315" t="s">
        <v>209</v>
      </c>
      <c r="U315" t="s">
        <v>209</v>
      </c>
      <c r="W315">
        <v>4</v>
      </c>
    </row>
    <row r="316" spans="1:23" x14ac:dyDescent="0.3">
      <c r="A316" s="104" t="s">
        <v>356</v>
      </c>
      <c r="B316">
        <v>78</v>
      </c>
      <c r="C316" s="104" t="s">
        <v>32</v>
      </c>
      <c r="D316" s="105">
        <v>698</v>
      </c>
      <c r="E316" s="104" t="s">
        <v>241</v>
      </c>
      <c r="F316" t="s">
        <v>209</v>
      </c>
      <c r="G316" t="s">
        <v>201</v>
      </c>
      <c r="H316" t="s">
        <v>201</v>
      </c>
      <c r="I316" t="s">
        <v>209</v>
      </c>
      <c r="J316" t="s">
        <v>78</v>
      </c>
      <c r="K316" t="s">
        <v>201</v>
      </c>
      <c r="L316" t="s">
        <v>209</v>
      </c>
      <c r="M316" t="s">
        <v>209</v>
      </c>
      <c r="N316">
        <v>12</v>
      </c>
      <c r="O316">
        <v>0</v>
      </c>
      <c r="P316">
        <v>0</v>
      </c>
      <c r="Q316">
        <v>87</v>
      </c>
      <c r="R316" t="s">
        <v>209</v>
      </c>
      <c r="S316" t="s">
        <v>78</v>
      </c>
      <c r="T316" t="s">
        <v>209</v>
      </c>
      <c r="U316" t="s">
        <v>209</v>
      </c>
      <c r="V316" t="s">
        <v>682</v>
      </c>
      <c r="W316">
        <v>4</v>
      </c>
    </row>
    <row r="317" spans="1:23" x14ac:dyDescent="0.3">
      <c r="A317" s="104" t="s">
        <v>351</v>
      </c>
      <c r="B317">
        <v>78</v>
      </c>
      <c r="C317" s="104" t="s">
        <v>30</v>
      </c>
      <c r="D317" s="105">
        <v>244</v>
      </c>
      <c r="E317" s="104" t="s">
        <v>241</v>
      </c>
      <c r="F317" t="s">
        <v>209</v>
      </c>
      <c r="G317" t="s">
        <v>201</v>
      </c>
      <c r="H317" t="s">
        <v>209</v>
      </c>
      <c r="I317" t="s">
        <v>209</v>
      </c>
      <c r="K317" t="s">
        <v>209</v>
      </c>
      <c r="L317" t="s">
        <v>209</v>
      </c>
      <c r="M317" t="s">
        <v>209</v>
      </c>
      <c r="N317">
        <v>15</v>
      </c>
      <c r="O317">
        <v>0</v>
      </c>
      <c r="P317">
        <v>0</v>
      </c>
      <c r="Q317">
        <v>100</v>
      </c>
      <c r="R317" t="s">
        <v>209</v>
      </c>
      <c r="S317" t="s">
        <v>78</v>
      </c>
      <c r="T317" t="s">
        <v>209</v>
      </c>
      <c r="U317" t="s">
        <v>209</v>
      </c>
      <c r="W317">
        <v>3</v>
      </c>
    </row>
    <row r="318" spans="1:23" x14ac:dyDescent="0.3">
      <c r="A318" s="104"/>
      <c r="C318" s="104"/>
      <c r="D318" s="105"/>
      <c r="E318" s="104"/>
    </row>
  </sheetData>
  <phoneticPr fontId="8" type="noConversion"/>
  <conditionalFormatting sqref="D300">
    <cfRule type="cellIs" dxfId="35" priority="1" operator="equal">
      <formula>$A$58</formula>
    </cfRule>
  </conditionalFormatting>
  <conditionalFormatting sqref="Z3:Z57">
    <cfRule type="cellIs" dxfId="34" priority="2" operator="less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B085E-2318-40EA-B0F5-C12FA9BED15B}">
  <dimension ref="A2:AM87"/>
  <sheetViews>
    <sheetView zoomScale="42" zoomScaleNormal="74" workbookViewId="0">
      <selection activeCell="H16" sqref="H16"/>
    </sheetView>
  </sheetViews>
  <sheetFormatPr defaultRowHeight="14.4" x14ac:dyDescent="0.3"/>
  <cols>
    <col min="1" max="1" width="20.6640625" bestFit="1" customWidth="1"/>
    <col min="2" max="2" width="14" bestFit="1" customWidth="1"/>
    <col min="3" max="3" width="7.44140625" customWidth="1"/>
    <col min="4" max="4" width="7.88671875" bestFit="1" customWidth="1"/>
    <col min="5" max="5" width="8.44140625" bestFit="1" customWidth="1"/>
    <col min="6" max="6" width="7.21875" bestFit="1" customWidth="1"/>
    <col min="7" max="7" width="8.109375" bestFit="1" customWidth="1"/>
    <col min="8" max="8" width="8.44140625" bestFit="1" customWidth="1"/>
    <col min="9" max="9" width="8.88671875" bestFit="1" customWidth="1"/>
    <col min="28" max="28" width="10.21875" customWidth="1"/>
    <col min="29" max="29" width="12.5546875" bestFit="1" customWidth="1"/>
  </cols>
  <sheetData>
    <row r="2" spans="1:39" x14ac:dyDescent="0.3">
      <c r="B2" t="s">
        <v>299</v>
      </c>
      <c r="C2" t="s">
        <v>36</v>
      </c>
      <c r="D2" t="s">
        <v>37</v>
      </c>
      <c r="E2" t="s">
        <v>39</v>
      </c>
      <c r="F2" t="s">
        <v>41</v>
      </c>
      <c r="G2" t="s">
        <v>38</v>
      </c>
      <c r="H2" t="s">
        <v>40</v>
      </c>
      <c r="I2" t="s">
        <v>42</v>
      </c>
    </row>
    <row r="3" spans="1:39" x14ac:dyDescent="0.3">
      <c r="B3" s="117">
        <v>0.36805555555555558</v>
      </c>
      <c r="C3">
        <v>1</v>
      </c>
      <c r="D3" s="145">
        <v>6479</v>
      </c>
      <c r="E3" s="145">
        <v>5933</v>
      </c>
      <c r="F3" s="145">
        <v>9091</v>
      </c>
      <c r="G3">
        <v>2840</v>
      </c>
      <c r="H3" s="145">
        <v>2403</v>
      </c>
      <c r="I3" s="145">
        <v>10114</v>
      </c>
      <c r="J3" s="66">
        <v>4</v>
      </c>
      <c r="K3" s="164">
        <v>4</v>
      </c>
      <c r="L3" t="s">
        <v>301</v>
      </c>
      <c r="N3" s="66">
        <v>6479</v>
      </c>
      <c r="O3" s="66">
        <v>9091</v>
      </c>
      <c r="P3" s="66">
        <v>2403</v>
      </c>
      <c r="Q3" s="66">
        <v>10114</v>
      </c>
      <c r="R3" s="118"/>
      <c r="U3">
        <v>5933</v>
      </c>
      <c r="W3">
        <v>2840</v>
      </c>
      <c r="AA3">
        <v>6479</v>
      </c>
      <c r="AB3">
        <v>5933</v>
      </c>
      <c r="AC3">
        <v>9091</v>
      </c>
      <c r="AE3">
        <v>2403</v>
      </c>
      <c r="AF3">
        <v>10114</v>
      </c>
      <c r="AH3" t="s">
        <v>308</v>
      </c>
      <c r="AI3" t="s">
        <v>309</v>
      </c>
      <c r="AJ3" t="s">
        <v>531</v>
      </c>
    </row>
    <row r="4" spans="1:39" x14ac:dyDescent="0.3">
      <c r="B4" s="117">
        <v>0.37361111111111112</v>
      </c>
      <c r="C4">
        <v>2</v>
      </c>
      <c r="D4" s="145">
        <v>10380</v>
      </c>
      <c r="E4" s="145">
        <v>2478</v>
      </c>
      <c r="F4" s="145">
        <v>6833</v>
      </c>
      <c r="G4" s="145">
        <v>991</v>
      </c>
      <c r="H4">
        <v>10905</v>
      </c>
      <c r="I4" s="145">
        <v>2662</v>
      </c>
      <c r="J4" s="66">
        <v>1</v>
      </c>
      <c r="K4" s="164"/>
      <c r="L4" t="s">
        <v>302</v>
      </c>
      <c r="N4" s="66">
        <v>2662</v>
      </c>
      <c r="O4">
        <v>2478</v>
      </c>
      <c r="P4">
        <v>6833</v>
      </c>
      <c r="R4" s="118"/>
      <c r="T4">
        <v>10380</v>
      </c>
      <c r="W4">
        <v>991</v>
      </c>
      <c r="X4">
        <v>10905</v>
      </c>
      <c r="AA4">
        <v>10380</v>
      </c>
      <c r="AB4">
        <v>2478</v>
      </c>
      <c r="AC4">
        <v>6833</v>
      </c>
      <c r="AD4">
        <v>991</v>
      </c>
      <c r="AF4">
        <v>2662</v>
      </c>
      <c r="AH4">
        <v>60</v>
      </c>
      <c r="AI4">
        <f>COUNTIF($N$3:$R$85,AH4)</f>
        <v>5</v>
      </c>
      <c r="AJ4">
        <f>COUNTIF($AA$3:$AF$85,AH4)</f>
        <v>5</v>
      </c>
      <c r="AL4" t="s">
        <v>364</v>
      </c>
    </row>
    <row r="5" spans="1:39" x14ac:dyDescent="0.3">
      <c r="B5" s="117">
        <v>0.37916666666666665</v>
      </c>
      <c r="C5">
        <v>3</v>
      </c>
      <c r="D5" s="145">
        <v>9704</v>
      </c>
      <c r="E5" s="145">
        <v>3424</v>
      </c>
      <c r="F5" s="145">
        <v>987</v>
      </c>
      <c r="G5" s="145">
        <v>10506</v>
      </c>
      <c r="H5" s="145">
        <v>9059</v>
      </c>
      <c r="I5">
        <v>7426</v>
      </c>
      <c r="J5" s="66">
        <v>3</v>
      </c>
      <c r="K5" s="164"/>
      <c r="L5" t="s">
        <v>303</v>
      </c>
      <c r="N5" s="66">
        <v>987</v>
      </c>
      <c r="O5" s="66">
        <v>10506</v>
      </c>
      <c r="P5" s="66">
        <v>9059</v>
      </c>
      <c r="Q5">
        <v>3424</v>
      </c>
      <c r="R5" s="118"/>
      <c r="T5">
        <v>9704</v>
      </c>
      <c r="Y5">
        <v>7426</v>
      </c>
      <c r="AA5">
        <v>9704</v>
      </c>
      <c r="AB5">
        <v>3424</v>
      </c>
      <c r="AC5">
        <v>987</v>
      </c>
      <c r="AD5">
        <v>10506</v>
      </c>
      <c r="AE5">
        <v>9059</v>
      </c>
      <c r="AH5">
        <v>244</v>
      </c>
      <c r="AI5">
        <f t="shared" ref="AI5:AI57" si="0">COUNTIF($N$3:$R$85,AH5)</f>
        <v>5</v>
      </c>
      <c r="AJ5">
        <f t="shared" ref="AJ5:AJ57" si="1">COUNTIF($AA$3:$AF$85,AH5)</f>
        <v>6</v>
      </c>
      <c r="AL5" s="144" t="s">
        <v>365</v>
      </c>
      <c r="AM5" t="s">
        <v>368</v>
      </c>
    </row>
    <row r="6" spans="1:39" x14ac:dyDescent="0.3">
      <c r="B6" s="117">
        <v>0.38472222222222224</v>
      </c>
      <c r="C6">
        <v>4</v>
      </c>
      <c r="D6">
        <v>996</v>
      </c>
      <c r="E6" s="145" t="s">
        <v>358</v>
      </c>
      <c r="F6" s="145" t="s">
        <v>361</v>
      </c>
      <c r="G6" s="145" t="s">
        <v>362</v>
      </c>
      <c r="H6">
        <v>698</v>
      </c>
      <c r="I6" s="145" t="s">
        <v>363</v>
      </c>
      <c r="J6" s="66">
        <v>3</v>
      </c>
      <c r="K6" s="164"/>
      <c r="L6" t="s">
        <v>307</v>
      </c>
      <c r="N6" s="66">
        <v>8717</v>
      </c>
      <c r="O6" s="66">
        <v>288</v>
      </c>
      <c r="P6" s="66">
        <v>2486</v>
      </c>
      <c r="Q6">
        <v>244</v>
      </c>
      <c r="R6" s="118"/>
      <c r="T6">
        <v>996</v>
      </c>
      <c r="X6">
        <v>698</v>
      </c>
      <c r="AB6">
        <v>244</v>
      </c>
      <c r="AC6">
        <v>8717</v>
      </c>
      <c r="AD6">
        <v>288</v>
      </c>
      <c r="AF6">
        <v>2486</v>
      </c>
      <c r="AH6">
        <v>288</v>
      </c>
      <c r="AI6">
        <f t="shared" si="0"/>
        <v>5</v>
      </c>
      <c r="AJ6">
        <f t="shared" si="1"/>
        <v>6</v>
      </c>
      <c r="AL6" s="145" t="s">
        <v>366</v>
      </c>
      <c r="AM6" t="s">
        <v>369</v>
      </c>
    </row>
    <row r="7" spans="1:39" x14ac:dyDescent="0.3">
      <c r="B7" s="117">
        <v>0.39027777777777778</v>
      </c>
      <c r="C7">
        <v>5</v>
      </c>
      <c r="D7" s="145">
        <v>3019</v>
      </c>
      <c r="E7" s="145" t="s">
        <v>371</v>
      </c>
      <c r="F7" s="145" t="s">
        <v>374</v>
      </c>
      <c r="G7" s="145" t="s">
        <v>375</v>
      </c>
      <c r="H7" s="145" t="s">
        <v>376</v>
      </c>
      <c r="I7" s="145" t="s">
        <v>377</v>
      </c>
      <c r="J7" s="66">
        <v>4</v>
      </c>
      <c r="K7" s="164"/>
      <c r="N7" s="66">
        <v>6352</v>
      </c>
      <c r="O7" s="66">
        <v>1165</v>
      </c>
      <c r="P7" s="66">
        <v>3944</v>
      </c>
      <c r="Q7" s="66">
        <v>9534</v>
      </c>
      <c r="R7" s="118"/>
      <c r="T7">
        <v>3019</v>
      </c>
      <c r="Y7">
        <v>6413</v>
      </c>
      <c r="AA7">
        <v>3019</v>
      </c>
      <c r="AB7">
        <v>6352</v>
      </c>
      <c r="AC7">
        <v>1165</v>
      </c>
      <c r="AD7">
        <v>3944</v>
      </c>
      <c r="AE7">
        <v>9534</v>
      </c>
      <c r="AF7">
        <v>6413</v>
      </c>
      <c r="AH7">
        <v>698</v>
      </c>
      <c r="AI7">
        <f t="shared" si="0"/>
        <v>5</v>
      </c>
      <c r="AJ7">
        <f t="shared" si="1"/>
        <v>5</v>
      </c>
      <c r="AL7" s="66" t="s">
        <v>367</v>
      </c>
      <c r="AM7" t="s">
        <v>370</v>
      </c>
    </row>
    <row r="8" spans="1:39" x14ac:dyDescent="0.3">
      <c r="B8" s="117">
        <v>0.39583333333333331</v>
      </c>
      <c r="C8">
        <v>6</v>
      </c>
      <c r="D8">
        <v>10988</v>
      </c>
      <c r="E8" s="145" t="s">
        <v>384</v>
      </c>
      <c r="F8" s="145">
        <v>3216</v>
      </c>
      <c r="G8" s="145" t="s">
        <v>380</v>
      </c>
      <c r="H8" s="145" t="s">
        <v>382</v>
      </c>
      <c r="I8" s="145" t="s">
        <v>383</v>
      </c>
      <c r="J8" s="66">
        <v>3</v>
      </c>
      <c r="K8" s="164">
        <v>3</v>
      </c>
      <c r="L8" t="s">
        <v>304</v>
      </c>
      <c r="N8" s="66">
        <v>11176</v>
      </c>
      <c r="O8" s="66">
        <v>8012</v>
      </c>
      <c r="P8" s="66">
        <v>11100</v>
      </c>
      <c r="Q8" s="118"/>
      <c r="T8">
        <v>10988</v>
      </c>
      <c r="U8">
        <v>10980</v>
      </c>
      <c r="V8">
        <v>3216</v>
      </c>
      <c r="AB8">
        <v>10980</v>
      </c>
      <c r="AC8">
        <v>3216</v>
      </c>
      <c r="AD8">
        <v>11176</v>
      </c>
      <c r="AE8">
        <v>8012</v>
      </c>
      <c r="AF8">
        <v>11100</v>
      </c>
      <c r="AH8">
        <v>987</v>
      </c>
      <c r="AI8">
        <f t="shared" si="0"/>
        <v>4</v>
      </c>
      <c r="AJ8">
        <f t="shared" si="1"/>
        <v>6</v>
      </c>
      <c r="AL8" t="s">
        <v>390</v>
      </c>
      <c r="AM8" t="s">
        <v>391</v>
      </c>
    </row>
    <row r="9" spans="1:39" x14ac:dyDescent="0.3">
      <c r="B9" s="117">
        <v>0.40138888888888891</v>
      </c>
      <c r="C9">
        <v>7</v>
      </c>
      <c r="D9" s="145">
        <v>10183</v>
      </c>
      <c r="E9" s="145">
        <v>2122</v>
      </c>
      <c r="F9" s="145">
        <v>60</v>
      </c>
      <c r="G9" s="145" t="s">
        <v>387</v>
      </c>
      <c r="H9" s="145" t="s">
        <v>388</v>
      </c>
      <c r="I9" s="145" t="s">
        <v>389</v>
      </c>
      <c r="J9" s="66">
        <v>2</v>
      </c>
      <c r="K9" s="164"/>
      <c r="L9" t="s">
        <v>305</v>
      </c>
      <c r="N9" s="66">
        <v>11479</v>
      </c>
      <c r="O9" s="66">
        <v>9501</v>
      </c>
      <c r="P9">
        <v>9777</v>
      </c>
      <c r="Q9" s="118"/>
      <c r="T9">
        <v>10183</v>
      </c>
      <c r="U9">
        <v>2122</v>
      </c>
      <c r="V9">
        <v>60</v>
      </c>
      <c r="AA9">
        <v>10183</v>
      </c>
      <c r="AB9">
        <v>2122</v>
      </c>
      <c r="AC9">
        <v>60</v>
      </c>
      <c r="AD9">
        <v>11479</v>
      </c>
      <c r="AE9">
        <v>9777</v>
      </c>
      <c r="AF9">
        <v>9501</v>
      </c>
      <c r="AH9">
        <v>991</v>
      </c>
      <c r="AI9">
        <f t="shared" si="0"/>
        <v>5</v>
      </c>
      <c r="AJ9">
        <f t="shared" si="1"/>
        <v>7</v>
      </c>
    </row>
    <row r="10" spans="1:39" x14ac:dyDescent="0.3">
      <c r="B10" s="117">
        <v>0.40694444444444444</v>
      </c>
      <c r="C10">
        <v>8</v>
      </c>
      <c r="D10" s="145">
        <v>1212</v>
      </c>
      <c r="E10" s="145">
        <v>4731</v>
      </c>
      <c r="F10" s="145">
        <v>7333</v>
      </c>
      <c r="G10" s="118">
        <v>2080</v>
      </c>
      <c r="H10">
        <v>10933</v>
      </c>
      <c r="I10">
        <v>1828</v>
      </c>
      <c r="J10" s="66">
        <v>1</v>
      </c>
      <c r="K10" s="164"/>
      <c r="L10" t="s">
        <v>306</v>
      </c>
      <c r="N10" s="66">
        <v>1212</v>
      </c>
      <c r="O10">
        <v>2080</v>
      </c>
      <c r="P10">
        <v>7333</v>
      </c>
      <c r="Q10" s="118"/>
      <c r="X10">
        <v>10933</v>
      </c>
      <c r="Y10">
        <v>1828</v>
      </c>
      <c r="AA10">
        <v>1212</v>
      </c>
      <c r="AB10">
        <v>4731</v>
      </c>
      <c r="AC10">
        <v>7333</v>
      </c>
      <c r="AH10">
        <v>996</v>
      </c>
      <c r="AI10">
        <f t="shared" si="0"/>
        <v>5</v>
      </c>
      <c r="AJ10">
        <f t="shared" si="1"/>
        <v>4</v>
      </c>
    </row>
    <row r="11" spans="1:39" x14ac:dyDescent="0.3">
      <c r="B11" s="117">
        <v>0.41249999999999998</v>
      </c>
      <c r="C11">
        <v>9</v>
      </c>
      <c r="D11" s="145">
        <v>4146</v>
      </c>
      <c r="E11" s="118">
        <v>3009</v>
      </c>
      <c r="F11" s="145">
        <v>3243</v>
      </c>
      <c r="G11" s="145">
        <v>7755</v>
      </c>
      <c r="H11" s="145" t="s">
        <v>397</v>
      </c>
      <c r="I11" s="145" t="s">
        <v>398</v>
      </c>
      <c r="J11" s="66">
        <v>2</v>
      </c>
      <c r="K11" s="164"/>
      <c r="N11" s="66">
        <v>3009</v>
      </c>
      <c r="O11" s="66">
        <v>1410</v>
      </c>
      <c r="P11">
        <v>3245</v>
      </c>
      <c r="Q11" s="118"/>
      <c r="T11">
        <v>4146</v>
      </c>
      <c r="V11">
        <v>3243</v>
      </c>
      <c r="W11">
        <v>7755</v>
      </c>
      <c r="AA11">
        <v>4146</v>
      </c>
      <c r="AC11">
        <v>3243</v>
      </c>
      <c r="AD11">
        <v>7755</v>
      </c>
      <c r="AE11">
        <v>3245</v>
      </c>
      <c r="AF11">
        <v>1410</v>
      </c>
      <c r="AH11">
        <v>1165</v>
      </c>
      <c r="AI11">
        <f t="shared" si="0"/>
        <v>4</v>
      </c>
      <c r="AJ11">
        <f t="shared" si="1"/>
        <v>4</v>
      </c>
    </row>
    <row r="12" spans="1:39" x14ac:dyDescent="0.3">
      <c r="B12" s="117">
        <v>0.41805555555555557</v>
      </c>
      <c r="C12">
        <v>10</v>
      </c>
      <c r="D12">
        <v>5933</v>
      </c>
      <c r="E12">
        <v>7425</v>
      </c>
      <c r="F12" s="145" t="s">
        <v>402</v>
      </c>
      <c r="G12" s="145" t="s">
        <v>403</v>
      </c>
      <c r="H12" s="145" t="s">
        <v>405</v>
      </c>
      <c r="I12" s="145" t="s">
        <v>404</v>
      </c>
      <c r="J12" s="66">
        <v>1</v>
      </c>
      <c r="K12" s="164"/>
      <c r="N12" s="66">
        <v>9059</v>
      </c>
      <c r="O12">
        <v>2478</v>
      </c>
      <c r="P12">
        <v>3424</v>
      </c>
      <c r="Q12" s="118"/>
      <c r="T12">
        <v>5933</v>
      </c>
      <c r="U12">
        <v>7425</v>
      </c>
      <c r="X12">
        <v>6833</v>
      </c>
      <c r="AC12">
        <v>2478</v>
      </c>
      <c r="AD12">
        <v>9059</v>
      </c>
      <c r="AE12">
        <v>6833</v>
      </c>
      <c r="AF12">
        <v>3424</v>
      </c>
      <c r="AH12">
        <v>1212</v>
      </c>
      <c r="AI12">
        <f t="shared" si="0"/>
        <v>5</v>
      </c>
      <c r="AJ12">
        <f t="shared" si="1"/>
        <v>5</v>
      </c>
    </row>
    <row r="13" spans="1:39" x14ac:dyDescent="0.3">
      <c r="B13" s="117">
        <v>0.43055555555555558</v>
      </c>
      <c r="C13">
        <v>11</v>
      </c>
      <c r="D13" s="145">
        <v>9534</v>
      </c>
      <c r="E13" s="145" t="s">
        <v>410</v>
      </c>
      <c r="F13" s="145" t="s">
        <v>409</v>
      </c>
      <c r="G13" s="145" t="s">
        <v>406</v>
      </c>
      <c r="H13" s="145" t="s">
        <v>408</v>
      </c>
      <c r="I13" s="145" t="s">
        <v>411</v>
      </c>
      <c r="J13" s="66">
        <v>2</v>
      </c>
      <c r="K13" s="164">
        <v>5</v>
      </c>
      <c r="N13" s="66">
        <v>9534</v>
      </c>
      <c r="O13" s="66">
        <v>9091</v>
      </c>
      <c r="P13">
        <v>996</v>
      </c>
      <c r="Q13">
        <v>9704</v>
      </c>
      <c r="S13" s="118"/>
      <c r="X13">
        <v>6413</v>
      </c>
      <c r="Y13">
        <v>10905</v>
      </c>
      <c r="AA13">
        <v>9534</v>
      </c>
      <c r="AB13">
        <v>996</v>
      </c>
      <c r="AC13">
        <v>9704</v>
      </c>
      <c r="AD13">
        <v>9091</v>
      </c>
      <c r="AE13">
        <v>6413</v>
      </c>
      <c r="AF13">
        <v>10905</v>
      </c>
      <c r="AH13">
        <v>1410</v>
      </c>
      <c r="AI13">
        <f t="shared" si="0"/>
        <v>6</v>
      </c>
      <c r="AJ13">
        <f t="shared" si="1"/>
        <v>5</v>
      </c>
    </row>
    <row r="14" spans="1:39" x14ac:dyDescent="0.3">
      <c r="B14" s="117">
        <v>0.43611111111111112</v>
      </c>
      <c r="C14">
        <v>12</v>
      </c>
      <c r="D14" s="145">
        <v>3944</v>
      </c>
      <c r="E14" s="145" t="s">
        <v>418</v>
      </c>
      <c r="F14" s="145" t="s">
        <v>417</v>
      </c>
      <c r="G14" s="145" t="s">
        <v>416</v>
      </c>
      <c r="H14" s="145" t="s">
        <v>419</v>
      </c>
      <c r="I14" s="145" t="s">
        <v>415</v>
      </c>
      <c r="J14" s="66">
        <v>4</v>
      </c>
      <c r="K14" s="164"/>
      <c r="L14" t="s">
        <v>301</v>
      </c>
      <c r="N14" s="66">
        <v>3944</v>
      </c>
      <c r="O14" s="66">
        <v>288</v>
      </c>
      <c r="P14" s="66">
        <v>6479</v>
      </c>
      <c r="Q14" s="66">
        <v>11176</v>
      </c>
      <c r="R14">
        <v>244</v>
      </c>
      <c r="S14" s="118"/>
      <c r="X14">
        <v>991</v>
      </c>
      <c r="AA14">
        <v>3944</v>
      </c>
      <c r="AB14">
        <v>288</v>
      </c>
      <c r="AC14">
        <v>6479</v>
      </c>
      <c r="AD14">
        <v>244</v>
      </c>
      <c r="AE14">
        <v>991</v>
      </c>
      <c r="AF14">
        <v>11176</v>
      </c>
      <c r="AH14">
        <v>1828</v>
      </c>
      <c r="AI14">
        <f t="shared" si="0"/>
        <v>5</v>
      </c>
      <c r="AJ14">
        <f t="shared" si="1"/>
        <v>4</v>
      </c>
    </row>
    <row r="15" spans="1:39" x14ac:dyDescent="0.3">
      <c r="A15" t="s">
        <v>432</v>
      </c>
      <c r="B15" s="117">
        <v>0.44166666666666665</v>
      </c>
      <c r="C15">
        <v>13</v>
      </c>
      <c r="D15" s="145">
        <v>2403</v>
      </c>
      <c r="E15" s="145">
        <v>2486</v>
      </c>
      <c r="F15" s="145">
        <v>10988</v>
      </c>
      <c r="G15" s="145" t="s">
        <v>423</v>
      </c>
      <c r="H15" s="145" t="s">
        <v>424</v>
      </c>
      <c r="I15" s="145" t="s">
        <v>425</v>
      </c>
      <c r="J15" s="66">
        <v>5</v>
      </c>
      <c r="K15" s="164"/>
      <c r="L15" t="s">
        <v>303</v>
      </c>
      <c r="N15" s="66">
        <v>2403</v>
      </c>
      <c r="O15" s="66">
        <v>2486</v>
      </c>
      <c r="P15" s="66">
        <v>1165</v>
      </c>
      <c r="Q15" s="66">
        <v>8717</v>
      </c>
      <c r="R15" s="66">
        <v>2122</v>
      </c>
      <c r="S15" s="118"/>
      <c r="V15">
        <v>10988</v>
      </c>
      <c r="AA15">
        <v>2403</v>
      </c>
      <c r="AB15">
        <v>2486</v>
      </c>
      <c r="AC15">
        <v>10988</v>
      </c>
      <c r="AD15">
        <v>1165</v>
      </c>
      <c r="AE15">
        <v>8717</v>
      </c>
      <c r="AF15">
        <v>2122</v>
      </c>
      <c r="AH15">
        <v>2080</v>
      </c>
      <c r="AI15">
        <f t="shared" si="0"/>
        <v>6</v>
      </c>
      <c r="AJ15">
        <f t="shared" si="1"/>
        <v>3</v>
      </c>
    </row>
    <row r="16" spans="1:39" x14ac:dyDescent="0.3">
      <c r="B16" s="117">
        <v>0.44722222222222224</v>
      </c>
      <c r="C16" s="66">
        <v>14</v>
      </c>
      <c r="D16" s="145">
        <v>10506</v>
      </c>
      <c r="E16" s="145">
        <v>10183</v>
      </c>
      <c r="F16" s="145" t="s">
        <v>431</v>
      </c>
      <c r="G16" s="145" t="s">
        <v>430</v>
      </c>
      <c r="H16" s="145" t="s">
        <v>429</v>
      </c>
      <c r="I16">
        <v>3019</v>
      </c>
      <c r="J16" s="66">
        <v>2</v>
      </c>
      <c r="K16" s="164"/>
      <c r="L16" t="s">
        <v>302</v>
      </c>
      <c r="N16" s="66">
        <v>10506</v>
      </c>
      <c r="O16" s="66">
        <v>8012</v>
      </c>
      <c r="P16">
        <v>2080</v>
      </c>
      <c r="Q16">
        <v>7426</v>
      </c>
      <c r="R16">
        <v>10183</v>
      </c>
      <c r="S16" s="118"/>
      <c r="Y16">
        <v>3019</v>
      </c>
      <c r="AA16">
        <v>10506</v>
      </c>
      <c r="AB16">
        <v>10183</v>
      </c>
      <c r="AC16">
        <v>8012</v>
      </c>
      <c r="AD16">
        <v>7426</v>
      </c>
      <c r="AE16">
        <v>2080</v>
      </c>
      <c r="AH16">
        <v>2122</v>
      </c>
      <c r="AI16">
        <f t="shared" si="0"/>
        <v>5</v>
      </c>
      <c r="AJ16">
        <f t="shared" si="1"/>
        <v>6</v>
      </c>
    </row>
    <row r="17" spans="2:36" x14ac:dyDescent="0.3">
      <c r="B17" s="117">
        <v>0.45277777777777778</v>
      </c>
      <c r="C17" s="66">
        <v>15</v>
      </c>
      <c r="D17" s="145">
        <v>10114</v>
      </c>
      <c r="E17" s="145">
        <v>9501</v>
      </c>
      <c r="F17" s="145">
        <v>1212</v>
      </c>
      <c r="G17" s="118">
        <v>2662</v>
      </c>
      <c r="H17" s="145" t="s">
        <v>435</v>
      </c>
      <c r="I17" s="118">
        <v>1410</v>
      </c>
      <c r="J17" s="66">
        <v>2</v>
      </c>
      <c r="K17" s="164"/>
      <c r="L17" t="s">
        <v>307</v>
      </c>
      <c r="N17" s="66">
        <v>1212</v>
      </c>
      <c r="O17" s="66">
        <v>2662</v>
      </c>
      <c r="P17">
        <v>1410</v>
      </c>
      <c r="Q17">
        <v>7333</v>
      </c>
      <c r="R17">
        <v>9501</v>
      </c>
      <c r="S17" s="118"/>
      <c r="AA17">
        <v>10114</v>
      </c>
      <c r="AB17">
        <v>9501</v>
      </c>
      <c r="AC17">
        <v>1212</v>
      </c>
      <c r="AE17">
        <v>7333</v>
      </c>
      <c r="AH17">
        <v>2403</v>
      </c>
      <c r="AI17">
        <f t="shared" si="0"/>
        <v>5</v>
      </c>
      <c r="AJ17">
        <f t="shared" si="1"/>
        <v>5</v>
      </c>
    </row>
    <row r="18" spans="2:36" x14ac:dyDescent="0.3">
      <c r="B18" s="117">
        <v>0.45833333333333331</v>
      </c>
      <c r="C18" s="66">
        <v>16</v>
      </c>
      <c r="D18" s="145" t="s">
        <v>438</v>
      </c>
      <c r="E18" s="145">
        <v>7755</v>
      </c>
      <c r="F18" s="145">
        <v>4146</v>
      </c>
      <c r="G18" s="118" t="s">
        <v>437</v>
      </c>
      <c r="H18" s="145" t="s">
        <v>439</v>
      </c>
      <c r="I18" s="145" t="s">
        <v>436</v>
      </c>
      <c r="J18" s="66">
        <v>2</v>
      </c>
      <c r="K18" s="164">
        <v>5</v>
      </c>
      <c r="L18" t="s">
        <v>301</v>
      </c>
      <c r="N18" s="66">
        <v>6352</v>
      </c>
      <c r="O18" s="66">
        <v>7755</v>
      </c>
      <c r="P18">
        <v>3216</v>
      </c>
      <c r="Q18">
        <v>4146</v>
      </c>
      <c r="R18">
        <v>10933</v>
      </c>
      <c r="S18" s="118"/>
      <c r="X18">
        <v>60</v>
      </c>
      <c r="AA18">
        <v>6352</v>
      </c>
      <c r="AB18">
        <v>7755</v>
      </c>
      <c r="AC18">
        <v>4146</v>
      </c>
      <c r="AE18">
        <v>60</v>
      </c>
      <c r="AF18">
        <v>3216</v>
      </c>
      <c r="AH18">
        <v>2478</v>
      </c>
      <c r="AI18">
        <f t="shared" si="0"/>
        <v>4</v>
      </c>
      <c r="AJ18">
        <f t="shared" si="1"/>
        <v>6</v>
      </c>
    </row>
    <row r="19" spans="2:36" x14ac:dyDescent="0.3">
      <c r="B19" s="117">
        <v>0.46388888888888891</v>
      </c>
      <c r="C19" s="66">
        <v>17</v>
      </c>
      <c r="D19" s="145">
        <v>698</v>
      </c>
      <c r="E19" s="145">
        <v>987</v>
      </c>
      <c r="F19" s="145">
        <v>11479</v>
      </c>
      <c r="G19" s="145">
        <v>10980</v>
      </c>
      <c r="H19">
        <v>1828</v>
      </c>
      <c r="I19" s="145" t="s">
        <v>443</v>
      </c>
      <c r="J19" s="66">
        <v>2</v>
      </c>
      <c r="K19" s="164"/>
      <c r="L19" t="s">
        <v>306</v>
      </c>
      <c r="N19" s="66">
        <v>987</v>
      </c>
      <c r="O19" s="66">
        <v>11479</v>
      </c>
      <c r="P19">
        <v>9777</v>
      </c>
      <c r="Q19">
        <v>10980</v>
      </c>
      <c r="S19" s="118"/>
      <c r="T19">
        <v>698</v>
      </c>
      <c r="X19">
        <v>1828</v>
      </c>
      <c r="AA19">
        <v>698</v>
      </c>
      <c r="AB19">
        <v>987</v>
      </c>
      <c r="AC19">
        <v>11479</v>
      </c>
      <c r="AD19">
        <v>10980</v>
      </c>
      <c r="AF19">
        <v>9777</v>
      </c>
      <c r="AH19">
        <v>2486</v>
      </c>
      <c r="AI19">
        <f t="shared" si="0"/>
        <v>4</v>
      </c>
      <c r="AJ19">
        <f t="shared" si="1"/>
        <v>5</v>
      </c>
    </row>
    <row r="20" spans="2:36" x14ac:dyDescent="0.3">
      <c r="B20" s="117">
        <v>0.46944444444444444</v>
      </c>
      <c r="C20" s="66">
        <v>18</v>
      </c>
      <c r="D20">
        <v>3243</v>
      </c>
      <c r="E20" s="66">
        <v>11100</v>
      </c>
      <c r="F20" s="66">
        <v>4731</v>
      </c>
      <c r="G20" s="66" t="s">
        <v>447</v>
      </c>
      <c r="H20" s="66" t="s">
        <v>445</v>
      </c>
      <c r="I20" s="66" t="s">
        <v>446</v>
      </c>
      <c r="J20" s="66">
        <v>3</v>
      </c>
      <c r="K20" s="164"/>
      <c r="L20" t="s">
        <v>305</v>
      </c>
      <c r="N20" s="66">
        <v>11100</v>
      </c>
      <c r="O20" s="66">
        <v>7425</v>
      </c>
      <c r="P20" s="66">
        <v>3009</v>
      </c>
      <c r="Q20">
        <v>2840</v>
      </c>
      <c r="R20">
        <v>4731</v>
      </c>
      <c r="S20" s="118"/>
      <c r="T20">
        <v>3243</v>
      </c>
      <c r="AH20">
        <v>2662</v>
      </c>
      <c r="AI20">
        <f t="shared" si="0"/>
        <v>5</v>
      </c>
      <c r="AJ20">
        <f t="shared" si="1"/>
        <v>4</v>
      </c>
    </row>
    <row r="21" spans="2:36" x14ac:dyDescent="0.3">
      <c r="B21" s="117">
        <v>0.47499999999999998</v>
      </c>
      <c r="C21" s="118">
        <v>19</v>
      </c>
      <c r="D21" s="118">
        <v>1165</v>
      </c>
      <c r="E21" s="118">
        <v>3245</v>
      </c>
      <c r="F21" s="118">
        <v>9059</v>
      </c>
      <c r="G21" s="118">
        <v>8717</v>
      </c>
      <c r="H21" s="118">
        <v>6479</v>
      </c>
      <c r="I21" s="118">
        <v>10380</v>
      </c>
      <c r="J21" s="66">
        <v>5</v>
      </c>
      <c r="K21" s="164"/>
      <c r="L21" t="s">
        <v>304</v>
      </c>
      <c r="N21" s="66">
        <v>1165</v>
      </c>
      <c r="O21" s="66">
        <v>9059</v>
      </c>
      <c r="P21" s="66">
        <v>8717</v>
      </c>
      <c r="Q21" s="66">
        <v>6479</v>
      </c>
      <c r="R21" s="66">
        <v>10380</v>
      </c>
      <c r="S21" s="118"/>
      <c r="U21">
        <v>3245</v>
      </c>
      <c r="AH21">
        <v>2840</v>
      </c>
      <c r="AI21">
        <f t="shared" si="0"/>
        <v>5</v>
      </c>
      <c r="AJ21">
        <f t="shared" si="1"/>
        <v>4</v>
      </c>
    </row>
    <row r="22" spans="2:36" x14ac:dyDescent="0.3">
      <c r="B22" s="117">
        <v>0.48055555555555557</v>
      </c>
      <c r="C22" s="118">
        <v>20</v>
      </c>
      <c r="D22" s="118">
        <v>2486</v>
      </c>
      <c r="E22" s="118">
        <v>2122</v>
      </c>
      <c r="F22" s="118">
        <v>996</v>
      </c>
      <c r="G22" s="118">
        <v>3019</v>
      </c>
      <c r="H22" s="118">
        <v>10506</v>
      </c>
      <c r="I22" s="118">
        <v>2478</v>
      </c>
      <c r="J22" s="66">
        <v>4</v>
      </c>
      <c r="K22" s="164"/>
      <c r="L22" t="s">
        <v>303</v>
      </c>
      <c r="N22" s="66">
        <v>2486</v>
      </c>
      <c r="O22" s="66">
        <v>2122</v>
      </c>
      <c r="P22" s="66">
        <v>3019</v>
      </c>
      <c r="Q22" s="66">
        <v>10506</v>
      </c>
      <c r="R22">
        <v>996</v>
      </c>
      <c r="S22" s="118"/>
      <c r="Y22">
        <v>2478</v>
      </c>
      <c r="AH22">
        <v>3009</v>
      </c>
      <c r="AI22">
        <f t="shared" si="0"/>
        <v>5</v>
      </c>
      <c r="AJ22">
        <f t="shared" si="1"/>
        <v>6</v>
      </c>
    </row>
    <row r="23" spans="2:36" x14ac:dyDescent="0.3">
      <c r="B23" s="117">
        <v>0.4861111111111111</v>
      </c>
      <c r="C23">
        <v>21</v>
      </c>
      <c r="D23" s="66">
        <v>2662</v>
      </c>
      <c r="E23" s="145">
        <v>9091</v>
      </c>
      <c r="F23" s="145">
        <v>288</v>
      </c>
      <c r="G23" s="145">
        <v>7333</v>
      </c>
      <c r="H23" s="66">
        <v>3944</v>
      </c>
      <c r="I23" s="66">
        <v>8012</v>
      </c>
      <c r="J23" s="66">
        <v>0</v>
      </c>
      <c r="K23" s="164">
        <v>4</v>
      </c>
      <c r="L23" t="s">
        <v>302</v>
      </c>
      <c r="N23">
        <v>7333</v>
      </c>
      <c r="O23">
        <v>2662</v>
      </c>
      <c r="P23">
        <v>3944</v>
      </c>
      <c r="Q23">
        <v>8012</v>
      </c>
      <c r="R23" s="118"/>
      <c r="U23">
        <v>9091</v>
      </c>
      <c r="V23">
        <v>288</v>
      </c>
      <c r="AB23">
        <v>9091</v>
      </c>
      <c r="AC23">
        <v>288</v>
      </c>
      <c r="AD23">
        <v>7333</v>
      </c>
      <c r="AH23">
        <v>3019</v>
      </c>
      <c r="AI23">
        <f t="shared" si="0"/>
        <v>5</v>
      </c>
      <c r="AJ23">
        <f t="shared" si="1"/>
        <v>5</v>
      </c>
    </row>
    <row r="24" spans="2:36" x14ac:dyDescent="0.3">
      <c r="B24" s="117">
        <v>0.49166666666666664</v>
      </c>
      <c r="C24">
        <v>22</v>
      </c>
      <c r="D24" s="145">
        <v>2403</v>
      </c>
      <c r="E24" s="145">
        <v>11176</v>
      </c>
      <c r="F24" s="145">
        <v>1212</v>
      </c>
      <c r="G24" s="145">
        <v>10183</v>
      </c>
      <c r="H24" s="145">
        <v>10905</v>
      </c>
      <c r="I24" s="145">
        <v>6833</v>
      </c>
      <c r="J24" s="66">
        <v>4</v>
      </c>
      <c r="K24" s="164"/>
      <c r="L24" t="s">
        <v>307</v>
      </c>
      <c r="N24" s="66">
        <v>2403</v>
      </c>
      <c r="O24" s="66">
        <v>11176</v>
      </c>
      <c r="P24" s="66">
        <v>1212</v>
      </c>
      <c r="Q24" s="66">
        <v>10905</v>
      </c>
      <c r="R24" s="118"/>
      <c r="W24">
        <v>10183</v>
      </c>
      <c r="Y24">
        <v>6833</v>
      </c>
      <c r="AA24">
        <v>2403</v>
      </c>
      <c r="AB24">
        <v>11176</v>
      </c>
      <c r="AC24">
        <v>1212</v>
      </c>
      <c r="AD24">
        <v>10183</v>
      </c>
      <c r="AE24">
        <v>10905</v>
      </c>
      <c r="AF24">
        <v>6833</v>
      </c>
      <c r="AH24">
        <v>3216</v>
      </c>
      <c r="AI24">
        <f t="shared" si="0"/>
        <v>5</v>
      </c>
      <c r="AJ24">
        <f t="shared" si="1"/>
        <v>4</v>
      </c>
    </row>
    <row r="25" spans="2:36" x14ac:dyDescent="0.3">
      <c r="B25" s="117">
        <v>0.49722222222222223</v>
      </c>
      <c r="C25">
        <v>23</v>
      </c>
      <c r="D25" s="145">
        <v>3216</v>
      </c>
      <c r="E25" s="145">
        <v>2080</v>
      </c>
      <c r="F25" s="145">
        <v>11479</v>
      </c>
      <c r="G25" s="145">
        <v>9501</v>
      </c>
      <c r="H25" s="145">
        <v>698</v>
      </c>
      <c r="I25" s="145">
        <v>10933</v>
      </c>
      <c r="J25" s="66">
        <v>1</v>
      </c>
      <c r="K25" s="164"/>
      <c r="L25" t="s">
        <v>301</v>
      </c>
      <c r="N25" s="66">
        <v>11479</v>
      </c>
      <c r="O25">
        <v>698</v>
      </c>
      <c r="P25">
        <v>2080</v>
      </c>
      <c r="Q25">
        <v>3216</v>
      </c>
      <c r="R25" s="118"/>
      <c r="W25">
        <v>9501</v>
      </c>
      <c r="Y25">
        <v>10933</v>
      </c>
      <c r="AA25">
        <v>3216</v>
      </c>
      <c r="AB25">
        <v>2080</v>
      </c>
      <c r="AC25">
        <v>11479</v>
      </c>
      <c r="AD25">
        <v>9501</v>
      </c>
      <c r="AE25">
        <v>698</v>
      </c>
      <c r="AF25">
        <v>10933</v>
      </c>
      <c r="AH25">
        <v>3243</v>
      </c>
      <c r="AI25">
        <f t="shared" si="0"/>
        <v>5</v>
      </c>
      <c r="AJ25">
        <f t="shared" si="1"/>
        <v>6</v>
      </c>
    </row>
    <row r="26" spans="2:36" x14ac:dyDescent="0.3">
      <c r="B26" s="117">
        <v>0.54166666666666663</v>
      </c>
      <c r="C26">
        <v>24</v>
      </c>
      <c r="D26" s="66">
        <v>6352</v>
      </c>
      <c r="E26" s="145">
        <v>9777</v>
      </c>
      <c r="F26" s="145">
        <v>2840</v>
      </c>
      <c r="G26" s="145">
        <v>1410</v>
      </c>
      <c r="H26" s="145">
        <v>10988</v>
      </c>
      <c r="I26" s="145">
        <v>3009</v>
      </c>
      <c r="J26" s="66">
        <v>2</v>
      </c>
      <c r="K26" s="164"/>
      <c r="L26" t="s">
        <v>306</v>
      </c>
      <c r="N26" s="66">
        <v>6352</v>
      </c>
      <c r="O26" s="66">
        <v>3009</v>
      </c>
      <c r="P26">
        <v>1410</v>
      </c>
      <c r="Q26">
        <v>2840</v>
      </c>
      <c r="R26" s="118"/>
      <c r="U26">
        <v>9777</v>
      </c>
      <c r="X26">
        <v>10988</v>
      </c>
      <c r="AB26">
        <v>9777</v>
      </c>
      <c r="AC26">
        <v>2840</v>
      </c>
      <c r="AD26">
        <v>1410</v>
      </c>
      <c r="AE26">
        <v>10988</v>
      </c>
      <c r="AF26">
        <v>3009</v>
      </c>
      <c r="AH26">
        <v>3245</v>
      </c>
      <c r="AI26">
        <f t="shared" si="0"/>
        <v>5</v>
      </c>
      <c r="AJ26">
        <f t="shared" si="1"/>
        <v>6</v>
      </c>
    </row>
    <row r="27" spans="2:36" x14ac:dyDescent="0.3">
      <c r="B27" s="117">
        <v>0.54722222222222228</v>
      </c>
      <c r="C27">
        <v>25</v>
      </c>
      <c r="D27" s="145">
        <v>991</v>
      </c>
      <c r="E27" s="145">
        <v>9534</v>
      </c>
      <c r="F27" s="145">
        <v>3424</v>
      </c>
      <c r="G27" s="145">
        <v>7755</v>
      </c>
      <c r="H27" s="145">
        <v>3243</v>
      </c>
      <c r="I27" s="145">
        <v>987</v>
      </c>
      <c r="J27" s="66">
        <v>4</v>
      </c>
      <c r="K27" s="164"/>
      <c r="N27" s="66">
        <v>9534</v>
      </c>
      <c r="O27" s="66">
        <v>7755</v>
      </c>
      <c r="P27" s="66">
        <v>3243</v>
      </c>
      <c r="Q27" s="66">
        <v>987</v>
      </c>
      <c r="R27" s="118"/>
      <c r="T27">
        <v>991</v>
      </c>
      <c r="V27">
        <v>3424</v>
      </c>
      <c r="AA27">
        <v>991</v>
      </c>
      <c r="AB27">
        <v>9534</v>
      </c>
      <c r="AC27">
        <v>3424</v>
      </c>
      <c r="AD27">
        <v>7755</v>
      </c>
      <c r="AE27">
        <v>3243</v>
      </c>
      <c r="AF27">
        <v>987</v>
      </c>
      <c r="AH27">
        <v>3424</v>
      </c>
      <c r="AI27">
        <f t="shared" si="0"/>
        <v>5</v>
      </c>
      <c r="AJ27">
        <f t="shared" si="1"/>
        <v>5</v>
      </c>
    </row>
    <row r="28" spans="2:36" x14ac:dyDescent="0.3">
      <c r="B28" s="117">
        <v>0.55277777777777781</v>
      </c>
      <c r="C28">
        <v>26</v>
      </c>
      <c r="D28" s="145">
        <v>4146</v>
      </c>
      <c r="E28" s="145">
        <v>7426</v>
      </c>
      <c r="F28" s="145">
        <v>5933</v>
      </c>
      <c r="G28" s="145">
        <v>6413</v>
      </c>
      <c r="H28" s="145">
        <v>1828</v>
      </c>
      <c r="I28" s="145">
        <v>10380</v>
      </c>
      <c r="J28" s="66">
        <v>2</v>
      </c>
      <c r="K28" s="164">
        <v>3</v>
      </c>
      <c r="L28" t="s">
        <v>303</v>
      </c>
      <c r="N28" s="66">
        <v>5933</v>
      </c>
      <c r="O28" s="66">
        <v>10380</v>
      </c>
      <c r="P28">
        <v>4146</v>
      </c>
      <c r="Q28" s="118"/>
      <c r="U28">
        <v>7426</v>
      </c>
      <c r="W28">
        <v>6413</v>
      </c>
      <c r="X28">
        <v>1828</v>
      </c>
      <c r="AA28">
        <v>4146</v>
      </c>
      <c r="AB28">
        <v>7426</v>
      </c>
      <c r="AC28">
        <v>5933</v>
      </c>
      <c r="AD28">
        <v>6413</v>
      </c>
      <c r="AE28">
        <v>1828</v>
      </c>
      <c r="AF28">
        <v>10380</v>
      </c>
      <c r="AH28">
        <v>3944</v>
      </c>
      <c r="AI28">
        <f t="shared" si="0"/>
        <v>5</v>
      </c>
      <c r="AJ28">
        <f t="shared" si="1"/>
        <v>4</v>
      </c>
    </row>
    <row r="29" spans="2:36" x14ac:dyDescent="0.3">
      <c r="B29" s="117">
        <v>0.55833333333333335</v>
      </c>
      <c r="C29">
        <v>27</v>
      </c>
      <c r="D29" s="145">
        <v>3245</v>
      </c>
      <c r="E29" s="145">
        <v>10114</v>
      </c>
      <c r="F29" s="145">
        <v>10980</v>
      </c>
      <c r="G29" s="145">
        <v>9704</v>
      </c>
      <c r="H29" s="145">
        <v>244</v>
      </c>
      <c r="I29" s="145">
        <v>7425</v>
      </c>
      <c r="J29" s="66">
        <v>1</v>
      </c>
      <c r="K29" s="164"/>
      <c r="L29" t="s">
        <v>305</v>
      </c>
      <c r="N29" s="66">
        <v>7425</v>
      </c>
      <c r="O29">
        <v>244</v>
      </c>
      <c r="P29">
        <v>3245</v>
      </c>
      <c r="Q29" s="118"/>
      <c r="U29">
        <v>10114</v>
      </c>
      <c r="V29">
        <v>10980</v>
      </c>
      <c r="W29">
        <v>9704</v>
      </c>
      <c r="AA29">
        <v>3245</v>
      </c>
      <c r="AB29">
        <v>10114</v>
      </c>
      <c r="AC29">
        <v>10980</v>
      </c>
      <c r="AD29">
        <v>9704</v>
      </c>
      <c r="AE29">
        <v>244</v>
      </c>
      <c r="AF29">
        <v>7425</v>
      </c>
      <c r="AH29">
        <v>4146</v>
      </c>
      <c r="AI29">
        <f t="shared" si="0"/>
        <v>5</v>
      </c>
      <c r="AJ29">
        <f t="shared" si="1"/>
        <v>7</v>
      </c>
    </row>
    <row r="30" spans="2:36" x14ac:dyDescent="0.3">
      <c r="B30" s="117">
        <v>0.56388888888888888</v>
      </c>
      <c r="C30">
        <v>28</v>
      </c>
      <c r="D30" s="145">
        <v>4731</v>
      </c>
      <c r="E30" s="145">
        <v>60</v>
      </c>
      <c r="F30" s="145">
        <v>9059</v>
      </c>
      <c r="G30" s="145">
        <v>11100</v>
      </c>
      <c r="H30" s="145">
        <v>2662</v>
      </c>
      <c r="I30" s="145">
        <v>996</v>
      </c>
      <c r="J30" s="66">
        <v>3</v>
      </c>
      <c r="K30" s="164"/>
      <c r="L30" t="s">
        <v>304</v>
      </c>
      <c r="N30">
        <v>4731</v>
      </c>
      <c r="O30" s="66">
        <v>9059</v>
      </c>
      <c r="P30" s="66">
        <v>11100</v>
      </c>
      <c r="Q30" s="118"/>
      <c r="X30">
        <v>2662</v>
      </c>
      <c r="Y30">
        <v>996</v>
      </c>
      <c r="AA30">
        <v>4731</v>
      </c>
      <c r="AB30">
        <v>60</v>
      </c>
      <c r="AC30">
        <v>9059</v>
      </c>
      <c r="AD30">
        <v>11100</v>
      </c>
      <c r="AE30">
        <v>2662</v>
      </c>
      <c r="AF30">
        <v>996</v>
      </c>
      <c r="AH30">
        <v>4731</v>
      </c>
      <c r="AI30">
        <f t="shared" si="0"/>
        <v>4</v>
      </c>
      <c r="AJ30">
        <f t="shared" si="1"/>
        <v>4</v>
      </c>
    </row>
    <row r="31" spans="2:36" x14ac:dyDescent="0.3">
      <c r="B31" s="117">
        <v>0.56944444444444442</v>
      </c>
      <c r="C31" s="66">
        <v>29</v>
      </c>
      <c r="D31" s="145">
        <v>11176</v>
      </c>
      <c r="E31" s="145">
        <v>11479</v>
      </c>
      <c r="F31" s="145">
        <v>7333</v>
      </c>
      <c r="G31">
        <v>1212</v>
      </c>
      <c r="H31">
        <v>1165</v>
      </c>
      <c r="I31" s="145">
        <v>10506</v>
      </c>
      <c r="J31" s="66">
        <v>0</v>
      </c>
      <c r="K31" s="164"/>
      <c r="N31">
        <v>7333</v>
      </c>
      <c r="O31">
        <v>1212</v>
      </c>
      <c r="P31">
        <v>10506</v>
      </c>
      <c r="Q31" s="118"/>
      <c r="U31">
        <v>11479</v>
      </c>
      <c r="X31">
        <v>1165</v>
      </c>
      <c r="AA31">
        <v>11176</v>
      </c>
      <c r="AB31">
        <v>11479</v>
      </c>
      <c r="AC31">
        <v>7333</v>
      </c>
      <c r="AF31">
        <v>10506</v>
      </c>
      <c r="AH31">
        <v>5933</v>
      </c>
      <c r="AI31">
        <f t="shared" si="0"/>
        <v>5</v>
      </c>
      <c r="AJ31">
        <f t="shared" si="1"/>
        <v>3</v>
      </c>
    </row>
    <row r="32" spans="2:36" x14ac:dyDescent="0.3">
      <c r="B32" s="117">
        <v>0.57499999999999996</v>
      </c>
      <c r="C32">
        <v>30</v>
      </c>
      <c r="D32" s="145">
        <v>6833</v>
      </c>
      <c r="E32" s="145">
        <v>9501</v>
      </c>
      <c r="F32" s="145">
        <v>2486</v>
      </c>
      <c r="G32" s="66">
        <v>10988</v>
      </c>
      <c r="H32">
        <v>3944</v>
      </c>
      <c r="I32">
        <v>9091</v>
      </c>
      <c r="J32" s="66">
        <v>2</v>
      </c>
      <c r="K32" s="164"/>
      <c r="N32" s="66">
        <v>2486</v>
      </c>
      <c r="O32" s="66">
        <v>10988</v>
      </c>
      <c r="P32">
        <v>6833</v>
      </c>
      <c r="Q32" s="118"/>
      <c r="U32">
        <v>9501</v>
      </c>
      <c r="X32">
        <v>3944</v>
      </c>
      <c r="Y32">
        <v>9091</v>
      </c>
      <c r="AA32">
        <v>6833</v>
      </c>
      <c r="AB32">
        <v>9501</v>
      </c>
      <c r="AC32">
        <v>2486</v>
      </c>
      <c r="AH32">
        <v>6352</v>
      </c>
      <c r="AI32">
        <f t="shared" si="0"/>
        <v>4</v>
      </c>
      <c r="AJ32">
        <f t="shared" si="1"/>
        <v>4</v>
      </c>
    </row>
    <row r="33" spans="2:36" x14ac:dyDescent="0.3">
      <c r="B33" s="117">
        <v>0.5805555555555556</v>
      </c>
      <c r="C33">
        <v>31</v>
      </c>
      <c r="D33" s="145">
        <v>3243</v>
      </c>
      <c r="E33" s="145">
        <v>2478</v>
      </c>
      <c r="F33" s="145">
        <v>288</v>
      </c>
      <c r="G33">
        <v>8012</v>
      </c>
      <c r="H33" s="66">
        <v>987</v>
      </c>
      <c r="I33" s="66">
        <v>2403</v>
      </c>
      <c r="J33" s="66">
        <v>3</v>
      </c>
      <c r="K33" s="164">
        <v>4</v>
      </c>
      <c r="L33" t="s">
        <v>301</v>
      </c>
      <c r="N33" s="66">
        <v>3243</v>
      </c>
      <c r="O33" s="66">
        <v>987</v>
      </c>
      <c r="P33" s="66">
        <v>2403</v>
      </c>
      <c r="Q33">
        <v>2478</v>
      </c>
      <c r="R33" s="118"/>
      <c r="V33">
        <v>288</v>
      </c>
      <c r="W33">
        <v>8012</v>
      </c>
      <c r="AA33">
        <v>3243</v>
      </c>
      <c r="AB33">
        <v>2478</v>
      </c>
      <c r="AC33">
        <v>288</v>
      </c>
      <c r="AH33">
        <v>6413</v>
      </c>
      <c r="AI33">
        <f t="shared" si="0"/>
        <v>5</v>
      </c>
      <c r="AJ33">
        <f t="shared" si="1"/>
        <v>6</v>
      </c>
    </row>
    <row r="34" spans="2:36" x14ac:dyDescent="0.3">
      <c r="B34" s="117">
        <v>0.58611111111111114</v>
      </c>
      <c r="C34">
        <v>32</v>
      </c>
      <c r="D34" s="145">
        <v>698</v>
      </c>
      <c r="E34" s="145">
        <v>10183</v>
      </c>
      <c r="F34" s="145">
        <v>1410</v>
      </c>
      <c r="G34" s="145">
        <v>6413</v>
      </c>
      <c r="H34" s="145">
        <v>6479</v>
      </c>
      <c r="I34" s="145">
        <v>7755</v>
      </c>
      <c r="J34" s="66">
        <v>3</v>
      </c>
      <c r="K34" s="164"/>
      <c r="L34" t="s">
        <v>302</v>
      </c>
      <c r="N34" s="66">
        <v>6413</v>
      </c>
      <c r="O34" s="66">
        <v>6479</v>
      </c>
      <c r="P34" s="66">
        <v>7755</v>
      </c>
      <c r="Q34">
        <v>698</v>
      </c>
      <c r="R34" s="118"/>
      <c r="U34">
        <v>10183</v>
      </c>
      <c r="V34">
        <v>1410</v>
      </c>
      <c r="AA34">
        <v>698</v>
      </c>
      <c r="AB34">
        <v>10183</v>
      </c>
      <c r="AC34">
        <v>1410</v>
      </c>
      <c r="AD34">
        <v>6413</v>
      </c>
      <c r="AE34">
        <v>6479</v>
      </c>
      <c r="AF34">
        <v>7755</v>
      </c>
      <c r="AH34">
        <v>6479</v>
      </c>
      <c r="AI34">
        <f t="shared" si="0"/>
        <v>4</v>
      </c>
      <c r="AJ34">
        <f t="shared" si="1"/>
        <v>4</v>
      </c>
    </row>
    <row r="35" spans="2:36" x14ac:dyDescent="0.3">
      <c r="B35" s="117">
        <v>0.59166666666666667</v>
      </c>
      <c r="C35">
        <v>33</v>
      </c>
      <c r="D35" s="145">
        <v>10905</v>
      </c>
      <c r="E35" s="145">
        <v>1828</v>
      </c>
      <c r="F35" s="145">
        <v>3009</v>
      </c>
      <c r="G35" s="145">
        <v>244</v>
      </c>
      <c r="H35" s="145">
        <v>3019</v>
      </c>
      <c r="I35" s="145">
        <v>10980</v>
      </c>
      <c r="J35" s="66">
        <v>4</v>
      </c>
      <c r="K35" s="164"/>
      <c r="L35" t="s">
        <v>306</v>
      </c>
      <c r="N35" s="66">
        <v>10905</v>
      </c>
      <c r="O35" s="66">
        <v>1828</v>
      </c>
      <c r="P35" s="66">
        <v>3009</v>
      </c>
      <c r="Q35" s="66">
        <v>3019</v>
      </c>
      <c r="R35" s="118"/>
      <c r="W35">
        <v>244</v>
      </c>
      <c r="Y35">
        <v>10980</v>
      </c>
      <c r="AA35">
        <v>10905</v>
      </c>
      <c r="AB35">
        <v>1828</v>
      </c>
      <c r="AC35">
        <v>3009</v>
      </c>
      <c r="AD35">
        <v>244</v>
      </c>
      <c r="AE35">
        <v>3019</v>
      </c>
      <c r="AF35">
        <v>10980</v>
      </c>
      <c r="AH35">
        <v>6833</v>
      </c>
      <c r="AI35">
        <f t="shared" si="0"/>
        <v>5</v>
      </c>
      <c r="AJ35">
        <f t="shared" si="1"/>
        <v>7</v>
      </c>
    </row>
    <row r="36" spans="2:36" x14ac:dyDescent="0.3">
      <c r="B36" s="117">
        <v>0.59722222222222221</v>
      </c>
      <c r="C36">
        <v>34</v>
      </c>
      <c r="D36">
        <v>2080</v>
      </c>
      <c r="E36" s="145">
        <v>991</v>
      </c>
      <c r="F36" s="145">
        <v>6352</v>
      </c>
      <c r="G36" s="145">
        <v>5933</v>
      </c>
      <c r="H36" s="145">
        <v>11100</v>
      </c>
      <c r="I36" s="145">
        <v>3245</v>
      </c>
      <c r="J36" s="66">
        <v>4</v>
      </c>
      <c r="K36" s="164"/>
      <c r="L36" t="s">
        <v>307</v>
      </c>
      <c r="N36" s="66">
        <v>991</v>
      </c>
      <c r="O36" s="66">
        <v>6352</v>
      </c>
      <c r="P36" s="66">
        <v>5933</v>
      </c>
      <c r="Q36" s="66">
        <v>11100</v>
      </c>
      <c r="R36" s="118"/>
      <c r="T36">
        <v>2080</v>
      </c>
      <c r="Y36">
        <v>3245</v>
      </c>
      <c r="AB36">
        <v>991</v>
      </c>
      <c r="AC36">
        <v>6352</v>
      </c>
      <c r="AD36">
        <v>5933</v>
      </c>
      <c r="AE36">
        <v>11100</v>
      </c>
      <c r="AF36">
        <v>3245</v>
      </c>
      <c r="AH36">
        <v>7333</v>
      </c>
      <c r="AI36">
        <f t="shared" si="0"/>
        <v>9</v>
      </c>
      <c r="AJ36">
        <f t="shared" si="1"/>
        <v>6</v>
      </c>
    </row>
    <row r="37" spans="2:36" x14ac:dyDescent="0.3">
      <c r="B37" s="117">
        <v>0.60277777777777775</v>
      </c>
      <c r="C37">
        <v>35</v>
      </c>
      <c r="D37">
        <v>9777</v>
      </c>
      <c r="E37" s="145">
        <v>7426</v>
      </c>
      <c r="F37" s="145">
        <v>60</v>
      </c>
      <c r="G37" s="145">
        <v>9534</v>
      </c>
      <c r="H37" s="66">
        <v>7425</v>
      </c>
      <c r="I37" s="66">
        <v>3216</v>
      </c>
      <c r="J37" s="66">
        <v>3</v>
      </c>
      <c r="K37" s="164"/>
      <c r="N37" s="66">
        <v>60</v>
      </c>
      <c r="O37" s="66">
        <v>9534</v>
      </c>
      <c r="P37" s="66">
        <v>7425</v>
      </c>
      <c r="Q37">
        <v>3216</v>
      </c>
      <c r="R37" s="118"/>
      <c r="T37">
        <v>9777</v>
      </c>
      <c r="U37">
        <v>7426</v>
      </c>
      <c r="AB37">
        <v>7426</v>
      </c>
      <c r="AC37">
        <v>60</v>
      </c>
      <c r="AD37">
        <v>9534</v>
      </c>
      <c r="AH37">
        <v>7425</v>
      </c>
      <c r="AI37">
        <f t="shared" si="0"/>
        <v>5</v>
      </c>
      <c r="AJ37">
        <f t="shared" si="1"/>
        <v>3</v>
      </c>
    </row>
    <row r="38" spans="2:36" x14ac:dyDescent="0.3">
      <c r="B38" s="117">
        <v>0.60833333333333328</v>
      </c>
      <c r="C38">
        <v>36</v>
      </c>
      <c r="D38" s="145">
        <v>4731</v>
      </c>
      <c r="E38" s="145">
        <v>3424</v>
      </c>
      <c r="F38" s="145">
        <v>8717</v>
      </c>
      <c r="G38" s="145">
        <v>2122</v>
      </c>
      <c r="H38" s="145">
        <v>4146</v>
      </c>
      <c r="I38" s="145">
        <v>10114</v>
      </c>
      <c r="J38" s="66">
        <v>2</v>
      </c>
      <c r="K38" s="164">
        <v>3</v>
      </c>
      <c r="L38" t="s">
        <v>305</v>
      </c>
      <c r="N38" s="66">
        <v>8717</v>
      </c>
      <c r="O38" s="66">
        <v>2122</v>
      </c>
      <c r="P38">
        <v>3424</v>
      </c>
      <c r="Q38" s="118"/>
      <c r="T38">
        <v>4731</v>
      </c>
      <c r="X38">
        <v>4146</v>
      </c>
      <c r="Y38">
        <v>10114</v>
      </c>
      <c r="AA38">
        <v>4731</v>
      </c>
      <c r="AB38">
        <v>3424</v>
      </c>
      <c r="AC38">
        <v>8717</v>
      </c>
      <c r="AD38">
        <v>2122</v>
      </c>
      <c r="AE38">
        <v>4146</v>
      </c>
      <c r="AF38">
        <v>10114</v>
      </c>
      <c r="AH38">
        <v>7426</v>
      </c>
      <c r="AI38">
        <f t="shared" si="0"/>
        <v>5</v>
      </c>
      <c r="AJ38">
        <f t="shared" si="1"/>
        <v>6</v>
      </c>
    </row>
    <row r="39" spans="2:36" x14ac:dyDescent="0.3">
      <c r="B39" s="117">
        <v>0.61388888888888893</v>
      </c>
      <c r="C39">
        <v>37</v>
      </c>
      <c r="D39" s="66">
        <v>2840</v>
      </c>
      <c r="E39" s="145">
        <v>10380</v>
      </c>
      <c r="F39" s="145">
        <v>9501</v>
      </c>
      <c r="G39" s="145">
        <v>10933</v>
      </c>
      <c r="H39" s="145">
        <v>9704</v>
      </c>
      <c r="I39" s="145">
        <v>11176</v>
      </c>
      <c r="J39" s="66">
        <v>1</v>
      </c>
      <c r="K39" s="164"/>
      <c r="L39" t="s">
        <v>303</v>
      </c>
      <c r="N39" s="66">
        <v>10380</v>
      </c>
      <c r="O39">
        <v>2840</v>
      </c>
      <c r="P39">
        <v>9704</v>
      </c>
      <c r="Q39" s="118"/>
      <c r="V39">
        <v>9501</v>
      </c>
      <c r="W39">
        <v>10933</v>
      </c>
      <c r="Y39">
        <v>11176</v>
      </c>
      <c r="AB39">
        <v>10380</v>
      </c>
      <c r="AC39">
        <v>9501</v>
      </c>
      <c r="AD39">
        <v>10933</v>
      </c>
      <c r="AE39">
        <v>9704</v>
      </c>
      <c r="AF39">
        <v>11176</v>
      </c>
      <c r="AH39">
        <v>7755</v>
      </c>
      <c r="AI39">
        <f t="shared" si="0"/>
        <v>5</v>
      </c>
      <c r="AJ39">
        <f t="shared" si="1"/>
        <v>7</v>
      </c>
    </row>
    <row r="40" spans="2:36" x14ac:dyDescent="0.3">
      <c r="B40" s="117">
        <v>0.61944444444444446</v>
      </c>
      <c r="C40">
        <v>38</v>
      </c>
      <c r="D40" s="145">
        <v>10506</v>
      </c>
      <c r="E40" s="145">
        <v>6413</v>
      </c>
      <c r="F40" s="145">
        <v>288</v>
      </c>
      <c r="G40" s="145">
        <v>9059</v>
      </c>
      <c r="H40" s="145">
        <v>3243</v>
      </c>
      <c r="I40" s="145">
        <v>1212</v>
      </c>
      <c r="J40" s="66">
        <v>3</v>
      </c>
      <c r="K40" s="164"/>
      <c r="L40" t="s">
        <v>304</v>
      </c>
      <c r="N40" s="66">
        <v>6413</v>
      </c>
      <c r="O40" s="66">
        <v>9059</v>
      </c>
      <c r="P40" s="66">
        <v>3243</v>
      </c>
      <c r="Q40" s="118"/>
      <c r="T40">
        <v>10506</v>
      </c>
      <c r="V40">
        <v>288</v>
      </c>
      <c r="Y40">
        <v>1212</v>
      </c>
      <c r="AA40">
        <v>10506</v>
      </c>
      <c r="AB40">
        <v>6413</v>
      </c>
      <c r="AC40">
        <v>288</v>
      </c>
      <c r="AD40">
        <v>9059</v>
      </c>
      <c r="AE40">
        <v>3243</v>
      </c>
      <c r="AF40">
        <v>1212</v>
      </c>
      <c r="AH40">
        <v>8012</v>
      </c>
      <c r="AI40">
        <f t="shared" si="0"/>
        <v>5</v>
      </c>
      <c r="AJ40">
        <f t="shared" si="1"/>
        <v>3</v>
      </c>
    </row>
    <row r="41" spans="2:36" x14ac:dyDescent="0.3">
      <c r="B41" s="117">
        <v>0.625</v>
      </c>
      <c r="C41">
        <v>39</v>
      </c>
      <c r="D41" s="145">
        <v>7755</v>
      </c>
      <c r="E41" s="145">
        <v>3019</v>
      </c>
      <c r="F41" s="145">
        <v>2403</v>
      </c>
      <c r="G41" s="145">
        <v>2478</v>
      </c>
      <c r="H41" s="66">
        <v>11479</v>
      </c>
      <c r="I41" s="145">
        <v>244</v>
      </c>
      <c r="J41" s="66">
        <v>3</v>
      </c>
      <c r="K41" s="164"/>
      <c r="N41" s="66">
        <v>7755</v>
      </c>
      <c r="O41" s="66">
        <v>3019</v>
      </c>
      <c r="P41" s="66">
        <v>2403</v>
      </c>
      <c r="Q41" s="118"/>
      <c r="W41">
        <v>2478</v>
      </c>
      <c r="X41">
        <v>11479</v>
      </c>
      <c r="Y41">
        <v>244</v>
      </c>
      <c r="AA41">
        <v>7755</v>
      </c>
      <c r="AB41">
        <v>3019</v>
      </c>
      <c r="AC41">
        <v>2403</v>
      </c>
      <c r="AD41">
        <v>2478</v>
      </c>
      <c r="AF41">
        <v>244</v>
      </c>
      <c r="AH41">
        <v>8717</v>
      </c>
      <c r="AI41">
        <f t="shared" si="0"/>
        <v>5</v>
      </c>
      <c r="AJ41">
        <f t="shared" si="1"/>
        <v>5</v>
      </c>
    </row>
    <row r="42" spans="2:36" x14ac:dyDescent="0.3">
      <c r="B42" s="117">
        <v>0.63055555555555554</v>
      </c>
      <c r="C42">
        <v>40</v>
      </c>
      <c r="D42">
        <v>2486</v>
      </c>
      <c r="E42" s="145">
        <v>987</v>
      </c>
      <c r="F42">
        <v>6479</v>
      </c>
      <c r="G42">
        <v>6352</v>
      </c>
      <c r="H42" s="66">
        <v>11100</v>
      </c>
      <c r="I42" s="145">
        <v>7333</v>
      </c>
      <c r="J42" s="66">
        <v>1</v>
      </c>
      <c r="K42" s="164"/>
      <c r="N42" s="66">
        <v>11100</v>
      </c>
      <c r="O42">
        <v>7333</v>
      </c>
      <c r="Q42" s="118"/>
      <c r="T42">
        <v>2486</v>
      </c>
      <c r="U42">
        <v>987</v>
      </c>
      <c r="V42">
        <v>6479</v>
      </c>
      <c r="W42">
        <v>6352</v>
      </c>
      <c r="AB42">
        <v>987</v>
      </c>
      <c r="AF42">
        <v>7333</v>
      </c>
      <c r="AH42">
        <v>9059</v>
      </c>
      <c r="AI42">
        <f t="shared" si="0"/>
        <v>5</v>
      </c>
      <c r="AJ42">
        <f t="shared" si="1"/>
        <v>5</v>
      </c>
    </row>
    <row r="43" spans="2:36" x14ac:dyDescent="0.3">
      <c r="B43" s="117">
        <v>0.63611111111111107</v>
      </c>
      <c r="C43">
        <v>41</v>
      </c>
      <c r="D43" s="145">
        <v>1410</v>
      </c>
      <c r="E43" s="145">
        <v>10980</v>
      </c>
      <c r="F43" s="145">
        <v>8012</v>
      </c>
      <c r="G43" s="66">
        <v>5933</v>
      </c>
      <c r="H43" s="66">
        <v>6833</v>
      </c>
      <c r="I43" s="145">
        <v>9534</v>
      </c>
      <c r="J43" s="66">
        <v>2</v>
      </c>
      <c r="K43" s="164">
        <v>4</v>
      </c>
      <c r="L43" t="s">
        <v>301</v>
      </c>
      <c r="N43" s="66">
        <v>5933</v>
      </c>
      <c r="O43" s="66">
        <v>9534</v>
      </c>
      <c r="P43">
        <v>1410</v>
      </c>
      <c r="Q43">
        <v>6833</v>
      </c>
      <c r="R43" s="118"/>
      <c r="U43">
        <v>10980</v>
      </c>
      <c r="V43">
        <v>8012</v>
      </c>
      <c r="AA43">
        <v>1410</v>
      </c>
      <c r="AB43">
        <v>10980</v>
      </c>
      <c r="AC43">
        <v>8012</v>
      </c>
      <c r="AF43">
        <v>9534</v>
      </c>
      <c r="AH43">
        <v>9091</v>
      </c>
      <c r="AI43">
        <f t="shared" si="0"/>
        <v>4</v>
      </c>
      <c r="AJ43">
        <f t="shared" si="1"/>
        <v>5</v>
      </c>
    </row>
    <row r="44" spans="2:36" x14ac:dyDescent="0.3">
      <c r="B44" s="117">
        <v>0.64166666666666672</v>
      </c>
      <c r="C44">
        <v>42</v>
      </c>
      <c r="D44" s="145">
        <v>3216</v>
      </c>
      <c r="E44" s="145">
        <v>1165</v>
      </c>
      <c r="F44" s="145">
        <v>10905</v>
      </c>
      <c r="G44">
        <v>4731</v>
      </c>
      <c r="H44" s="145">
        <v>3245</v>
      </c>
      <c r="I44" s="66">
        <v>1828</v>
      </c>
      <c r="J44" s="66">
        <v>2</v>
      </c>
      <c r="K44" s="164"/>
      <c r="L44" t="s">
        <v>302</v>
      </c>
      <c r="N44" s="66">
        <v>10905</v>
      </c>
      <c r="O44" s="66">
        <v>1828</v>
      </c>
      <c r="P44">
        <v>3216</v>
      </c>
      <c r="Q44">
        <v>3245</v>
      </c>
      <c r="R44" s="118"/>
      <c r="U44">
        <v>1165</v>
      </c>
      <c r="W44">
        <v>4731</v>
      </c>
      <c r="AA44">
        <v>3216</v>
      </c>
      <c r="AB44">
        <v>1165</v>
      </c>
      <c r="AC44">
        <v>10905</v>
      </c>
      <c r="AE44">
        <v>3245</v>
      </c>
      <c r="AH44">
        <v>9501</v>
      </c>
      <c r="AI44">
        <f t="shared" si="0"/>
        <v>4</v>
      </c>
      <c r="AJ44">
        <f t="shared" si="1"/>
        <v>6</v>
      </c>
    </row>
    <row r="45" spans="2:36" x14ac:dyDescent="0.3">
      <c r="B45" s="117">
        <v>0.64722222222222225</v>
      </c>
      <c r="C45">
        <v>43</v>
      </c>
      <c r="D45" s="66">
        <v>7425</v>
      </c>
      <c r="E45" s="145">
        <v>991</v>
      </c>
      <c r="F45" s="145">
        <v>9091</v>
      </c>
      <c r="G45" s="145">
        <v>8717</v>
      </c>
      <c r="H45" s="145">
        <v>10183</v>
      </c>
      <c r="I45" s="145">
        <v>3009</v>
      </c>
      <c r="J45" s="66">
        <v>4</v>
      </c>
      <c r="K45" s="164"/>
      <c r="L45" t="s">
        <v>306</v>
      </c>
      <c r="N45" s="66">
        <v>7425</v>
      </c>
      <c r="O45" s="66">
        <v>991</v>
      </c>
      <c r="P45" s="66">
        <v>8717</v>
      </c>
      <c r="Q45" s="66">
        <v>3009</v>
      </c>
      <c r="R45" s="118"/>
      <c r="V45">
        <v>9091</v>
      </c>
      <c r="X45">
        <v>10183</v>
      </c>
      <c r="AB45">
        <v>991</v>
      </c>
      <c r="AC45">
        <v>9091</v>
      </c>
      <c r="AD45">
        <v>8717</v>
      </c>
      <c r="AE45">
        <v>10183</v>
      </c>
      <c r="AF45">
        <v>3009</v>
      </c>
      <c r="AH45">
        <v>9534</v>
      </c>
      <c r="AI45">
        <f t="shared" si="0"/>
        <v>5</v>
      </c>
      <c r="AJ45">
        <f t="shared" si="1"/>
        <v>7</v>
      </c>
    </row>
    <row r="46" spans="2:36" x14ac:dyDescent="0.3">
      <c r="B46" s="117">
        <v>0.65277777777777779</v>
      </c>
      <c r="C46">
        <v>44</v>
      </c>
      <c r="D46">
        <v>10933</v>
      </c>
      <c r="E46" s="66">
        <v>9777</v>
      </c>
      <c r="F46" s="145">
        <v>10380</v>
      </c>
      <c r="G46" s="145">
        <v>996</v>
      </c>
      <c r="H46">
        <v>3944</v>
      </c>
      <c r="I46" s="66">
        <v>3424</v>
      </c>
      <c r="J46" s="66">
        <v>1</v>
      </c>
      <c r="K46" s="164"/>
      <c r="L46" t="s">
        <v>307</v>
      </c>
      <c r="N46" s="66">
        <v>10380</v>
      </c>
      <c r="O46">
        <v>996</v>
      </c>
      <c r="P46">
        <v>3424</v>
      </c>
      <c r="Q46">
        <v>9777</v>
      </c>
      <c r="R46" s="118"/>
      <c r="T46">
        <v>10933</v>
      </c>
      <c r="X46">
        <v>3944</v>
      </c>
      <c r="AC46">
        <v>10380</v>
      </c>
      <c r="AD46">
        <v>996</v>
      </c>
      <c r="AH46">
        <v>9704</v>
      </c>
      <c r="AI46">
        <f t="shared" si="0"/>
        <v>4</v>
      </c>
      <c r="AJ46">
        <f t="shared" si="1"/>
        <v>6</v>
      </c>
    </row>
    <row r="47" spans="2:36" x14ac:dyDescent="0.3">
      <c r="B47" s="117">
        <v>0.65833333333333333</v>
      </c>
      <c r="C47">
        <v>45</v>
      </c>
      <c r="D47" s="145">
        <v>10114</v>
      </c>
      <c r="E47" s="145">
        <v>9704</v>
      </c>
      <c r="F47" s="145">
        <v>7426</v>
      </c>
      <c r="G47" s="66">
        <v>60</v>
      </c>
      <c r="H47" s="66">
        <v>698</v>
      </c>
      <c r="I47" s="66">
        <v>10988</v>
      </c>
      <c r="J47" s="66">
        <v>2</v>
      </c>
      <c r="K47" s="164"/>
      <c r="N47" s="66">
        <v>60</v>
      </c>
      <c r="O47" s="66">
        <v>10988</v>
      </c>
      <c r="P47">
        <v>698</v>
      </c>
      <c r="Q47">
        <v>7426</v>
      </c>
      <c r="R47" s="118"/>
      <c r="T47">
        <v>10114</v>
      </c>
      <c r="U47">
        <v>9704</v>
      </c>
      <c r="AA47">
        <v>10114</v>
      </c>
      <c r="AB47">
        <v>9704</v>
      </c>
      <c r="AC47">
        <v>7426</v>
      </c>
      <c r="AH47">
        <v>9777</v>
      </c>
      <c r="AI47">
        <f t="shared" si="0"/>
        <v>6</v>
      </c>
      <c r="AJ47">
        <f t="shared" si="1"/>
        <v>4</v>
      </c>
    </row>
    <row r="48" spans="2:36" x14ac:dyDescent="0.3">
      <c r="B48" s="117">
        <v>0.66388888888888886</v>
      </c>
      <c r="C48">
        <v>46</v>
      </c>
      <c r="D48" s="145">
        <v>2662</v>
      </c>
      <c r="E48" s="145">
        <v>2080</v>
      </c>
      <c r="F48" s="145">
        <v>2122</v>
      </c>
      <c r="G48" s="145">
        <v>4146</v>
      </c>
      <c r="H48" s="145">
        <v>2840</v>
      </c>
      <c r="I48" s="66">
        <v>6413</v>
      </c>
      <c r="J48" s="66">
        <v>2</v>
      </c>
      <c r="K48" s="164">
        <v>3</v>
      </c>
      <c r="N48" s="66">
        <v>2122</v>
      </c>
      <c r="O48" s="66">
        <v>6413</v>
      </c>
      <c r="P48">
        <v>2080</v>
      </c>
      <c r="Q48" s="118"/>
      <c r="T48">
        <v>2662</v>
      </c>
      <c r="W48">
        <v>4146</v>
      </c>
      <c r="X48">
        <v>2840</v>
      </c>
      <c r="AA48">
        <v>2662</v>
      </c>
      <c r="AB48">
        <v>2080</v>
      </c>
      <c r="AC48">
        <v>2122</v>
      </c>
      <c r="AD48">
        <v>4146</v>
      </c>
      <c r="AE48">
        <v>2840</v>
      </c>
      <c r="AH48">
        <v>10114</v>
      </c>
      <c r="AI48">
        <f t="shared" si="0"/>
        <v>4</v>
      </c>
      <c r="AJ48">
        <f t="shared" si="1"/>
        <v>6</v>
      </c>
    </row>
    <row r="49" spans="1:36" x14ac:dyDescent="0.3">
      <c r="B49" s="117">
        <v>0.6694444444444444</v>
      </c>
      <c r="C49">
        <v>47</v>
      </c>
      <c r="D49" s="145">
        <v>11479</v>
      </c>
      <c r="E49">
        <v>288</v>
      </c>
      <c r="F49" s="145">
        <v>7755</v>
      </c>
      <c r="G49">
        <v>8012</v>
      </c>
      <c r="H49" s="66">
        <v>5933</v>
      </c>
      <c r="I49">
        <v>6352</v>
      </c>
      <c r="J49" s="66">
        <v>2</v>
      </c>
      <c r="K49" s="164"/>
      <c r="L49" t="s">
        <v>304</v>
      </c>
      <c r="N49" s="66">
        <v>7755</v>
      </c>
      <c r="O49" s="66">
        <v>5933</v>
      </c>
      <c r="Q49" s="118"/>
      <c r="T49">
        <v>11479</v>
      </c>
      <c r="U49">
        <v>288</v>
      </c>
      <c r="W49">
        <v>8012</v>
      </c>
      <c r="Y49">
        <v>6352</v>
      </c>
      <c r="AA49">
        <v>11479</v>
      </c>
      <c r="AC49">
        <v>7755</v>
      </c>
      <c r="AH49">
        <v>10183</v>
      </c>
      <c r="AI49">
        <f t="shared" si="0"/>
        <v>4</v>
      </c>
      <c r="AJ49">
        <f t="shared" si="1"/>
        <v>6</v>
      </c>
    </row>
    <row r="50" spans="1:36" x14ac:dyDescent="0.3">
      <c r="B50" s="117">
        <v>0.67500000000000004</v>
      </c>
      <c r="C50">
        <v>48</v>
      </c>
      <c r="D50" s="145">
        <v>987</v>
      </c>
      <c r="E50" s="145">
        <v>6833</v>
      </c>
      <c r="F50" s="145">
        <v>244</v>
      </c>
      <c r="G50">
        <v>9501</v>
      </c>
      <c r="H50" s="66">
        <v>3216</v>
      </c>
      <c r="I50" s="66">
        <v>4731</v>
      </c>
      <c r="J50" s="66">
        <v>0</v>
      </c>
      <c r="K50" s="164"/>
      <c r="L50" t="s">
        <v>305</v>
      </c>
      <c r="N50">
        <v>244</v>
      </c>
      <c r="O50">
        <v>3216</v>
      </c>
      <c r="P50">
        <v>4731</v>
      </c>
      <c r="Q50" s="118"/>
      <c r="T50">
        <v>987</v>
      </c>
      <c r="U50">
        <v>6833</v>
      </c>
      <c r="W50">
        <v>9501</v>
      </c>
      <c r="AA50">
        <v>987</v>
      </c>
      <c r="AB50">
        <v>6833</v>
      </c>
      <c r="AC50">
        <v>244</v>
      </c>
      <c r="AH50">
        <v>10380</v>
      </c>
      <c r="AI50">
        <f t="shared" si="0"/>
        <v>5</v>
      </c>
      <c r="AJ50">
        <f t="shared" si="1"/>
        <v>4</v>
      </c>
    </row>
    <row r="51" spans="1:36" x14ac:dyDescent="0.3">
      <c r="B51" s="117">
        <v>0.68055555555555558</v>
      </c>
      <c r="C51">
        <v>49</v>
      </c>
      <c r="D51" s="145">
        <v>3009</v>
      </c>
      <c r="E51" s="145">
        <v>7333</v>
      </c>
      <c r="F51" s="145">
        <v>9534</v>
      </c>
      <c r="G51">
        <v>9059</v>
      </c>
      <c r="H51">
        <v>8717</v>
      </c>
      <c r="I51">
        <v>2403</v>
      </c>
      <c r="J51" s="66">
        <v>0</v>
      </c>
      <c r="K51" s="164"/>
      <c r="N51">
        <v>7333</v>
      </c>
      <c r="Q51" s="118"/>
      <c r="T51">
        <v>3009</v>
      </c>
      <c r="V51">
        <v>9534</v>
      </c>
      <c r="W51">
        <v>9059</v>
      </c>
      <c r="X51">
        <v>8717</v>
      </c>
      <c r="Y51">
        <v>2403</v>
      </c>
      <c r="AA51">
        <v>3009</v>
      </c>
      <c r="AB51">
        <v>7333</v>
      </c>
      <c r="AC51">
        <v>9534</v>
      </c>
      <c r="AH51">
        <v>10506</v>
      </c>
      <c r="AI51">
        <f t="shared" si="0"/>
        <v>5</v>
      </c>
      <c r="AJ51">
        <f t="shared" si="1"/>
        <v>5</v>
      </c>
    </row>
    <row r="52" spans="1:36" x14ac:dyDescent="0.3">
      <c r="B52" s="117">
        <v>0.68611111111111112</v>
      </c>
      <c r="C52">
        <v>50</v>
      </c>
      <c r="D52" s="145">
        <v>7425</v>
      </c>
      <c r="E52" s="145">
        <v>10905</v>
      </c>
      <c r="F52" s="145">
        <v>3944</v>
      </c>
      <c r="G52" s="145">
        <v>1828</v>
      </c>
      <c r="H52">
        <v>6479</v>
      </c>
      <c r="I52">
        <v>10506</v>
      </c>
      <c r="J52" s="66">
        <v>3</v>
      </c>
      <c r="K52" s="164"/>
      <c r="N52" s="66">
        <v>7425</v>
      </c>
      <c r="O52" s="66">
        <v>10905</v>
      </c>
      <c r="P52" s="66">
        <v>1828</v>
      </c>
      <c r="Q52" s="118"/>
      <c r="V52">
        <v>3944</v>
      </c>
      <c r="X52">
        <v>6479</v>
      </c>
      <c r="Y52">
        <v>10506</v>
      </c>
      <c r="AA52">
        <v>7425</v>
      </c>
      <c r="AB52">
        <v>10905</v>
      </c>
      <c r="AC52">
        <v>3944</v>
      </c>
      <c r="AD52">
        <v>1828</v>
      </c>
      <c r="AH52">
        <v>10905</v>
      </c>
      <c r="AI52">
        <f t="shared" si="0"/>
        <v>5</v>
      </c>
      <c r="AJ52">
        <f t="shared" si="1"/>
        <v>5</v>
      </c>
    </row>
    <row r="53" spans="1:36" x14ac:dyDescent="0.3">
      <c r="B53" s="117">
        <v>0.69166666666666665</v>
      </c>
      <c r="C53">
        <v>51</v>
      </c>
      <c r="D53" s="145">
        <v>3245</v>
      </c>
      <c r="E53" s="145">
        <v>10988</v>
      </c>
      <c r="F53" s="145">
        <v>10183</v>
      </c>
      <c r="G53" s="145">
        <v>2478</v>
      </c>
      <c r="H53" s="145">
        <v>996</v>
      </c>
      <c r="I53" s="145">
        <v>698</v>
      </c>
      <c r="J53" s="66">
        <v>1</v>
      </c>
      <c r="K53" s="164">
        <v>2</v>
      </c>
      <c r="L53" t="s">
        <v>301</v>
      </c>
      <c r="N53" s="66">
        <v>10988</v>
      </c>
      <c r="O53">
        <v>698</v>
      </c>
      <c r="P53">
        <v>10183</v>
      </c>
      <c r="T53">
        <v>3245</v>
      </c>
      <c r="W53">
        <v>2478</v>
      </c>
      <c r="X53">
        <v>996</v>
      </c>
      <c r="AA53">
        <v>3245</v>
      </c>
      <c r="AB53">
        <v>10988</v>
      </c>
      <c r="AC53">
        <v>10183</v>
      </c>
      <c r="AD53">
        <v>2478</v>
      </c>
      <c r="AE53">
        <v>996</v>
      </c>
      <c r="AF53">
        <v>698</v>
      </c>
      <c r="AH53">
        <v>10933</v>
      </c>
      <c r="AI53">
        <f t="shared" si="0"/>
        <v>4</v>
      </c>
      <c r="AJ53">
        <f t="shared" si="1"/>
        <v>4</v>
      </c>
    </row>
    <row r="54" spans="1:36" x14ac:dyDescent="0.3">
      <c r="B54" s="117">
        <v>0.69722222222222219</v>
      </c>
      <c r="C54">
        <v>52</v>
      </c>
      <c r="D54">
        <v>11176</v>
      </c>
      <c r="E54" s="145">
        <v>3243</v>
      </c>
      <c r="F54" s="145">
        <v>9777</v>
      </c>
      <c r="G54" s="145">
        <v>2486</v>
      </c>
      <c r="H54" s="145">
        <v>2662</v>
      </c>
      <c r="I54" s="145">
        <v>10114</v>
      </c>
      <c r="J54" s="66">
        <v>1</v>
      </c>
      <c r="K54" s="164"/>
      <c r="L54" t="s">
        <v>304</v>
      </c>
      <c r="N54" s="66">
        <v>3243</v>
      </c>
      <c r="O54">
        <v>9777</v>
      </c>
      <c r="P54">
        <v>2662</v>
      </c>
      <c r="T54">
        <v>11176</v>
      </c>
      <c r="W54">
        <v>2486</v>
      </c>
      <c r="Y54">
        <v>10114</v>
      </c>
      <c r="AB54">
        <v>3243</v>
      </c>
      <c r="AC54">
        <v>9777</v>
      </c>
      <c r="AD54">
        <v>2486</v>
      </c>
      <c r="AE54">
        <v>2662</v>
      </c>
      <c r="AF54">
        <v>10114</v>
      </c>
      <c r="AH54">
        <v>10980</v>
      </c>
      <c r="AI54">
        <f t="shared" si="0"/>
        <v>4</v>
      </c>
      <c r="AJ54">
        <f t="shared" si="1"/>
        <v>6</v>
      </c>
    </row>
    <row r="55" spans="1:36" x14ac:dyDescent="0.3">
      <c r="B55" s="117">
        <v>0.70277777777777772</v>
      </c>
      <c r="C55">
        <v>53</v>
      </c>
      <c r="D55" s="66">
        <v>11100</v>
      </c>
      <c r="E55" s="145">
        <v>9704</v>
      </c>
      <c r="F55" s="145">
        <v>2840</v>
      </c>
      <c r="G55" s="145">
        <v>3019</v>
      </c>
      <c r="H55" s="145">
        <v>1212</v>
      </c>
      <c r="I55" s="145">
        <v>4146</v>
      </c>
      <c r="J55" s="66">
        <v>2</v>
      </c>
      <c r="K55" s="164"/>
      <c r="N55" s="66">
        <v>11100</v>
      </c>
      <c r="O55" s="66">
        <v>3019</v>
      </c>
      <c r="P55" s="118"/>
      <c r="U55">
        <v>9704</v>
      </c>
      <c r="V55">
        <v>2840</v>
      </c>
      <c r="X55">
        <v>1212</v>
      </c>
      <c r="Y55">
        <v>4146</v>
      </c>
      <c r="AB55">
        <v>9704</v>
      </c>
      <c r="AC55">
        <v>2840</v>
      </c>
      <c r="AD55">
        <v>3019</v>
      </c>
      <c r="AE55">
        <v>1212</v>
      </c>
      <c r="AF55">
        <v>4146</v>
      </c>
      <c r="AH55">
        <v>10988</v>
      </c>
      <c r="AI55">
        <f t="shared" si="0"/>
        <v>5</v>
      </c>
      <c r="AJ55">
        <f t="shared" si="1"/>
        <v>4</v>
      </c>
    </row>
    <row r="56" spans="1:36" x14ac:dyDescent="0.3">
      <c r="B56" s="117">
        <v>0.70833333333333337</v>
      </c>
      <c r="C56">
        <v>54</v>
      </c>
      <c r="D56" s="145">
        <v>9091</v>
      </c>
      <c r="E56" s="145">
        <v>1410</v>
      </c>
      <c r="F56">
        <v>2080</v>
      </c>
      <c r="G56" s="145">
        <v>3424</v>
      </c>
      <c r="H56" s="145">
        <v>10380</v>
      </c>
      <c r="I56" s="145">
        <v>60</v>
      </c>
      <c r="J56" s="66">
        <v>2</v>
      </c>
      <c r="K56" s="164"/>
      <c r="N56" s="66">
        <v>10380</v>
      </c>
      <c r="O56" s="66">
        <v>60</v>
      </c>
      <c r="P56" s="118"/>
      <c r="T56">
        <v>9091</v>
      </c>
      <c r="U56">
        <v>1410</v>
      </c>
      <c r="V56">
        <v>2080</v>
      </c>
      <c r="W56">
        <v>3424</v>
      </c>
      <c r="AA56">
        <v>2122</v>
      </c>
      <c r="AB56">
        <v>10933</v>
      </c>
      <c r="AD56">
        <v>7426</v>
      </c>
      <c r="AE56">
        <v>1165</v>
      </c>
      <c r="AF56">
        <v>991</v>
      </c>
      <c r="AH56">
        <v>11100</v>
      </c>
      <c r="AI56">
        <f t="shared" si="0"/>
        <v>6</v>
      </c>
      <c r="AJ56">
        <f t="shared" si="1"/>
        <v>5</v>
      </c>
    </row>
    <row r="57" spans="1:36" x14ac:dyDescent="0.3">
      <c r="A57" s="149" t="s">
        <v>598</v>
      </c>
      <c r="B57" s="117">
        <v>0.71388888888888891</v>
      </c>
      <c r="C57">
        <v>55</v>
      </c>
      <c r="D57" s="145">
        <v>2122</v>
      </c>
      <c r="E57" s="145">
        <v>10933</v>
      </c>
      <c r="F57">
        <v>10980</v>
      </c>
      <c r="G57" s="145">
        <v>7426</v>
      </c>
      <c r="H57" s="145">
        <v>1165</v>
      </c>
      <c r="I57" s="145">
        <v>991</v>
      </c>
      <c r="J57" s="66">
        <v>2</v>
      </c>
      <c r="K57" s="164"/>
      <c r="N57" s="66">
        <v>2122</v>
      </c>
      <c r="O57" s="66">
        <v>991</v>
      </c>
      <c r="P57" s="118"/>
      <c r="U57">
        <v>10933</v>
      </c>
      <c r="V57">
        <v>10980</v>
      </c>
      <c r="W57">
        <v>7426</v>
      </c>
      <c r="X57">
        <v>1165</v>
      </c>
      <c r="AB57">
        <v>11479</v>
      </c>
      <c r="AC57">
        <v>6833</v>
      </c>
      <c r="AD57">
        <v>3009</v>
      </c>
      <c r="AH57">
        <v>11176</v>
      </c>
      <c r="AI57">
        <f t="shared" si="0"/>
        <v>4</v>
      </c>
      <c r="AJ57">
        <f t="shared" si="1"/>
        <v>6</v>
      </c>
    </row>
    <row r="58" spans="1:36" x14ac:dyDescent="0.3">
      <c r="A58" s="149"/>
      <c r="B58" s="117">
        <v>0.71944444444444444</v>
      </c>
      <c r="C58">
        <v>56</v>
      </c>
      <c r="D58" s="66">
        <v>6413</v>
      </c>
      <c r="E58" s="145">
        <v>11479</v>
      </c>
      <c r="F58" s="145">
        <v>6833</v>
      </c>
      <c r="G58" s="145">
        <v>3009</v>
      </c>
      <c r="H58">
        <v>288</v>
      </c>
      <c r="I58">
        <v>244</v>
      </c>
      <c r="J58" s="66">
        <v>2</v>
      </c>
      <c r="K58" s="164">
        <v>3</v>
      </c>
      <c r="L58" t="s">
        <v>301</v>
      </c>
      <c r="N58" s="66">
        <v>6413</v>
      </c>
      <c r="O58">
        <v>6833</v>
      </c>
      <c r="P58" s="118"/>
      <c r="U58">
        <v>11479</v>
      </c>
      <c r="W58">
        <v>3009</v>
      </c>
      <c r="X58">
        <v>288</v>
      </c>
      <c r="Y58">
        <v>244</v>
      </c>
      <c r="AB58">
        <v>11479</v>
      </c>
      <c r="AC58">
        <v>6833</v>
      </c>
      <c r="AD58">
        <v>3009</v>
      </c>
      <c r="AH58">
        <v>11479</v>
      </c>
      <c r="AI58">
        <f>COUNTIF($N$3:$R$85,AH58)</f>
        <v>5</v>
      </c>
      <c r="AJ58">
        <f>COUNTIF($AA$3:$AF$85,AH58)</f>
        <v>8</v>
      </c>
    </row>
    <row r="59" spans="1:36" x14ac:dyDescent="0.3">
      <c r="A59" s="93"/>
      <c r="B59" s="117">
        <v>0.72499999999999998</v>
      </c>
      <c r="C59">
        <v>57</v>
      </c>
      <c r="D59">
        <v>698</v>
      </c>
      <c r="E59">
        <v>10506</v>
      </c>
      <c r="F59" s="66">
        <v>3245</v>
      </c>
      <c r="G59">
        <v>2403</v>
      </c>
      <c r="H59">
        <v>4731</v>
      </c>
      <c r="I59" s="66">
        <v>5933</v>
      </c>
      <c r="J59" s="66">
        <v>2</v>
      </c>
      <c r="K59" s="164"/>
      <c r="L59" t="s">
        <v>302</v>
      </c>
      <c r="N59" s="66">
        <v>5933</v>
      </c>
      <c r="O59">
        <v>3245</v>
      </c>
      <c r="P59" s="118"/>
      <c r="T59">
        <v>698</v>
      </c>
      <c r="U59">
        <v>10506</v>
      </c>
      <c r="W59">
        <v>2403</v>
      </c>
      <c r="X59">
        <v>4731</v>
      </c>
    </row>
    <row r="60" spans="1:36" x14ac:dyDescent="0.3">
      <c r="B60" s="117">
        <v>0.73055555555555551</v>
      </c>
      <c r="C60">
        <v>58</v>
      </c>
      <c r="D60" s="66">
        <v>1828</v>
      </c>
      <c r="E60" s="66">
        <v>10114</v>
      </c>
      <c r="F60">
        <v>10183</v>
      </c>
      <c r="G60">
        <v>9534</v>
      </c>
      <c r="H60">
        <v>6352</v>
      </c>
      <c r="I60" s="66">
        <v>2662</v>
      </c>
      <c r="J60" s="66">
        <v>3</v>
      </c>
      <c r="K60" s="164"/>
      <c r="L60" t="s">
        <v>303</v>
      </c>
      <c r="N60" s="66">
        <v>1828</v>
      </c>
      <c r="O60">
        <v>10114</v>
      </c>
      <c r="P60">
        <v>2662</v>
      </c>
      <c r="V60">
        <v>10183</v>
      </c>
      <c r="W60">
        <v>9534</v>
      </c>
      <c r="X60">
        <v>6352</v>
      </c>
    </row>
    <row r="61" spans="1:36" x14ac:dyDescent="0.3">
      <c r="B61" s="117">
        <v>0.73611111111111116</v>
      </c>
      <c r="C61">
        <v>59</v>
      </c>
      <c r="D61">
        <v>9501</v>
      </c>
      <c r="E61">
        <v>9059</v>
      </c>
      <c r="F61" s="66">
        <v>10905</v>
      </c>
      <c r="G61" s="66">
        <v>9777</v>
      </c>
      <c r="H61">
        <v>8012</v>
      </c>
      <c r="I61" s="66">
        <v>4146</v>
      </c>
      <c r="J61" s="66">
        <v>3</v>
      </c>
      <c r="K61" s="164"/>
      <c r="N61" s="66">
        <v>10905</v>
      </c>
      <c r="O61">
        <v>4146</v>
      </c>
      <c r="P61">
        <v>9777</v>
      </c>
      <c r="T61">
        <v>9501</v>
      </c>
      <c r="U61">
        <v>9059</v>
      </c>
      <c r="X61">
        <v>8012</v>
      </c>
    </row>
    <row r="62" spans="1:36" x14ac:dyDescent="0.3">
      <c r="A62" s="118" t="s">
        <v>628</v>
      </c>
      <c r="B62" s="156">
        <v>0.36805555555555558</v>
      </c>
      <c r="C62" s="118">
        <v>60</v>
      </c>
      <c r="D62" s="118">
        <v>6479</v>
      </c>
      <c r="E62" s="118">
        <v>996</v>
      </c>
      <c r="F62" s="118">
        <v>10988</v>
      </c>
      <c r="G62" s="118">
        <v>3424</v>
      </c>
      <c r="H62" s="118">
        <v>1212</v>
      </c>
      <c r="I62" s="118">
        <v>2080</v>
      </c>
      <c r="J62" s="66">
        <v>2</v>
      </c>
      <c r="K62" s="164"/>
      <c r="N62" s="66">
        <v>10988</v>
      </c>
      <c r="O62">
        <v>996</v>
      </c>
      <c r="P62">
        <v>1212</v>
      </c>
      <c r="T62">
        <v>6479</v>
      </c>
      <c r="W62">
        <v>3424</v>
      </c>
      <c r="Y62">
        <v>2080</v>
      </c>
    </row>
    <row r="63" spans="1:36" x14ac:dyDescent="0.3">
      <c r="B63" s="117">
        <v>0.37361111111111112</v>
      </c>
      <c r="C63">
        <v>61</v>
      </c>
      <c r="D63" s="145">
        <v>11100</v>
      </c>
      <c r="E63" s="145">
        <v>7755</v>
      </c>
      <c r="F63" s="145">
        <v>7425</v>
      </c>
      <c r="G63" s="66">
        <v>7333</v>
      </c>
      <c r="H63">
        <v>10380</v>
      </c>
      <c r="I63">
        <v>2122</v>
      </c>
      <c r="J63" s="66">
        <v>2</v>
      </c>
      <c r="K63" s="164">
        <v>3</v>
      </c>
      <c r="L63" t="s">
        <v>301</v>
      </c>
      <c r="M63">
        <v>61</v>
      </c>
      <c r="N63">
        <v>7333</v>
      </c>
      <c r="P63" s="118"/>
      <c r="T63">
        <v>11100</v>
      </c>
      <c r="U63">
        <v>7755</v>
      </c>
      <c r="V63">
        <v>7425</v>
      </c>
      <c r="X63">
        <v>10380</v>
      </c>
      <c r="Y63">
        <v>2122</v>
      </c>
      <c r="AA63">
        <v>11100</v>
      </c>
      <c r="AB63">
        <v>7755</v>
      </c>
      <c r="AC63">
        <v>7425</v>
      </c>
    </row>
    <row r="64" spans="1:36" x14ac:dyDescent="0.3">
      <c r="B64" s="117">
        <v>0.37916666666666665</v>
      </c>
      <c r="C64">
        <v>62</v>
      </c>
      <c r="D64" s="145">
        <v>2478</v>
      </c>
      <c r="E64" s="145">
        <v>7426</v>
      </c>
      <c r="F64" s="145">
        <v>11176</v>
      </c>
      <c r="G64">
        <v>1165</v>
      </c>
      <c r="H64">
        <v>9091</v>
      </c>
      <c r="I64" s="145">
        <v>3243</v>
      </c>
      <c r="J64" s="66">
        <v>3</v>
      </c>
      <c r="K64" s="164"/>
      <c r="L64" t="s">
        <v>305</v>
      </c>
      <c r="M64">
        <v>62</v>
      </c>
      <c r="N64" s="66">
        <v>3243</v>
      </c>
      <c r="O64">
        <v>7426</v>
      </c>
      <c r="P64">
        <v>11176</v>
      </c>
      <c r="T64">
        <v>2478</v>
      </c>
      <c r="W64">
        <v>1165</v>
      </c>
      <c r="X64">
        <v>9091</v>
      </c>
      <c r="AA64">
        <v>2478</v>
      </c>
      <c r="AB64">
        <v>7426</v>
      </c>
      <c r="AC64">
        <v>11176</v>
      </c>
      <c r="AF64">
        <v>3243</v>
      </c>
    </row>
    <row r="65" spans="1:32" x14ac:dyDescent="0.3">
      <c r="B65" s="117">
        <v>0.38472222222222224</v>
      </c>
      <c r="C65">
        <v>63</v>
      </c>
      <c r="D65" s="145">
        <v>1410</v>
      </c>
      <c r="E65" s="145">
        <v>2486</v>
      </c>
      <c r="F65" s="145">
        <v>991</v>
      </c>
      <c r="G65" s="145">
        <v>3019</v>
      </c>
      <c r="H65">
        <v>3216</v>
      </c>
      <c r="I65">
        <v>9704</v>
      </c>
      <c r="J65" s="66">
        <v>2</v>
      </c>
      <c r="K65" s="164"/>
      <c r="L65" t="s">
        <v>280</v>
      </c>
      <c r="M65">
        <v>63</v>
      </c>
      <c r="N65" s="66">
        <v>991</v>
      </c>
      <c r="O65" s="66">
        <v>3019</v>
      </c>
      <c r="P65" s="118"/>
      <c r="T65">
        <v>1410</v>
      </c>
      <c r="U65">
        <v>2486</v>
      </c>
      <c r="X65">
        <v>3216</v>
      </c>
      <c r="Y65">
        <v>9704</v>
      </c>
      <c r="AA65">
        <v>1410</v>
      </c>
      <c r="AB65">
        <v>2486</v>
      </c>
      <c r="AC65">
        <v>991</v>
      </c>
      <c r="AD65">
        <v>3019</v>
      </c>
    </row>
    <row r="66" spans="1:32" x14ac:dyDescent="0.3">
      <c r="A66" t="s">
        <v>655</v>
      </c>
      <c r="B66" s="117">
        <v>0.39027777777777778</v>
      </c>
      <c r="C66">
        <v>64</v>
      </c>
      <c r="D66" s="145">
        <v>3944</v>
      </c>
      <c r="E66" s="145">
        <v>60</v>
      </c>
      <c r="F66" s="145">
        <v>8717</v>
      </c>
      <c r="G66" s="145">
        <v>2840</v>
      </c>
      <c r="H66" s="145">
        <v>10980</v>
      </c>
      <c r="I66" s="145">
        <v>987</v>
      </c>
      <c r="J66" s="66">
        <v>3</v>
      </c>
      <c r="K66" s="164"/>
      <c r="M66">
        <v>64</v>
      </c>
      <c r="N66" s="66">
        <v>60</v>
      </c>
      <c r="O66">
        <v>2840</v>
      </c>
      <c r="P66">
        <v>10980</v>
      </c>
      <c r="T66">
        <v>3944</v>
      </c>
      <c r="V66">
        <v>8717</v>
      </c>
      <c r="Y66">
        <v>987</v>
      </c>
      <c r="AA66">
        <v>3944</v>
      </c>
      <c r="AB66">
        <v>60</v>
      </c>
      <c r="AC66">
        <v>8717</v>
      </c>
      <c r="AD66">
        <v>2840</v>
      </c>
      <c r="AE66">
        <v>10980</v>
      </c>
      <c r="AF66">
        <v>987</v>
      </c>
    </row>
    <row r="67" spans="1:32" x14ac:dyDescent="0.3">
      <c r="A67" t="s">
        <v>656</v>
      </c>
      <c r="B67" s="117">
        <v>0.39583333333333331</v>
      </c>
      <c r="C67">
        <v>65</v>
      </c>
      <c r="D67" s="145">
        <v>3245</v>
      </c>
      <c r="E67" s="145">
        <v>10933</v>
      </c>
      <c r="F67" s="145">
        <v>6413</v>
      </c>
      <c r="G67" t="s">
        <v>64</v>
      </c>
      <c r="H67" s="145">
        <v>10506</v>
      </c>
      <c r="I67">
        <v>9777</v>
      </c>
      <c r="J67" s="66">
        <v>1</v>
      </c>
      <c r="K67" s="164"/>
      <c r="M67">
        <v>65</v>
      </c>
      <c r="N67" s="66">
        <v>6413</v>
      </c>
      <c r="O67">
        <v>3245</v>
      </c>
      <c r="P67">
        <v>10933</v>
      </c>
      <c r="W67">
        <v>6833</v>
      </c>
      <c r="X67">
        <v>10506</v>
      </c>
      <c r="Y67">
        <v>9777</v>
      </c>
      <c r="AA67">
        <v>3245</v>
      </c>
      <c r="AB67">
        <v>10933</v>
      </c>
      <c r="AC67">
        <v>6413</v>
      </c>
      <c r="AD67" t="s">
        <v>64</v>
      </c>
      <c r="AE67">
        <v>10506</v>
      </c>
    </row>
    <row r="68" spans="1:32" x14ac:dyDescent="0.3">
      <c r="A68" t="s">
        <v>657</v>
      </c>
      <c r="B68" s="117">
        <v>0.40138888888888891</v>
      </c>
      <c r="C68" s="66">
        <v>66</v>
      </c>
      <c r="D68" s="145">
        <v>10988</v>
      </c>
      <c r="E68" s="145">
        <v>4146</v>
      </c>
      <c r="F68" s="145">
        <v>4731</v>
      </c>
      <c r="G68" s="145">
        <v>11479</v>
      </c>
      <c r="H68" s="145">
        <v>9534</v>
      </c>
      <c r="I68" s="145">
        <v>6479</v>
      </c>
      <c r="J68" s="66">
        <v>3</v>
      </c>
      <c r="K68" s="164">
        <v>3</v>
      </c>
      <c r="L68" t="s">
        <v>615</v>
      </c>
      <c r="M68">
        <v>66</v>
      </c>
      <c r="N68" s="66">
        <v>10988</v>
      </c>
      <c r="O68">
        <v>4146</v>
      </c>
      <c r="P68">
        <v>11479</v>
      </c>
      <c r="V68">
        <v>4731</v>
      </c>
      <c r="X68">
        <v>9534</v>
      </c>
      <c r="Y68">
        <v>6479</v>
      </c>
      <c r="AA68">
        <v>10988</v>
      </c>
      <c r="AB68">
        <v>4146</v>
      </c>
      <c r="AC68">
        <v>4731</v>
      </c>
      <c r="AD68">
        <v>11479</v>
      </c>
      <c r="AE68">
        <v>9534</v>
      </c>
      <c r="AF68">
        <v>6479</v>
      </c>
    </row>
    <row r="69" spans="1:32" x14ac:dyDescent="0.3">
      <c r="B69" s="117">
        <v>0.40694444444444444</v>
      </c>
      <c r="C69">
        <v>67</v>
      </c>
      <c r="D69" s="145">
        <v>1828</v>
      </c>
      <c r="E69" s="145">
        <v>3424</v>
      </c>
      <c r="F69" s="145">
        <v>11100</v>
      </c>
      <c r="G69" s="145">
        <v>288</v>
      </c>
      <c r="H69" s="145">
        <v>2403</v>
      </c>
      <c r="I69" s="145">
        <v>9501</v>
      </c>
      <c r="J69" s="66">
        <v>3</v>
      </c>
      <c r="K69" s="164"/>
      <c r="L69" t="s">
        <v>301</v>
      </c>
      <c r="M69">
        <v>67</v>
      </c>
      <c r="N69" s="66">
        <v>1828</v>
      </c>
      <c r="O69">
        <v>288</v>
      </c>
      <c r="P69">
        <v>9501</v>
      </c>
      <c r="U69">
        <v>3424</v>
      </c>
      <c r="V69">
        <v>11100</v>
      </c>
      <c r="X69">
        <v>2403</v>
      </c>
      <c r="AA69">
        <v>1828</v>
      </c>
      <c r="AB69">
        <v>3424</v>
      </c>
      <c r="AC69">
        <v>11100</v>
      </c>
      <c r="AD69">
        <v>288</v>
      </c>
      <c r="AE69">
        <v>2403</v>
      </c>
      <c r="AF69">
        <v>9501</v>
      </c>
    </row>
    <row r="70" spans="1:32" x14ac:dyDescent="0.3">
      <c r="B70" s="117">
        <v>0.41249999999999998</v>
      </c>
      <c r="C70">
        <v>68</v>
      </c>
      <c r="D70" s="145">
        <v>2122</v>
      </c>
      <c r="E70" s="145">
        <v>6352</v>
      </c>
      <c r="F70" s="145">
        <v>698</v>
      </c>
      <c r="G70" s="145">
        <v>9091</v>
      </c>
      <c r="H70">
        <v>11176</v>
      </c>
      <c r="I70" s="145">
        <v>9059</v>
      </c>
      <c r="J70" s="66">
        <v>1</v>
      </c>
      <c r="K70" s="164"/>
      <c r="L70" t="s">
        <v>302</v>
      </c>
      <c r="M70">
        <v>68</v>
      </c>
      <c r="N70">
        <v>9091</v>
      </c>
      <c r="P70" s="118"/>
      <c r="T70">
        <v>2122</v>
      </c>
      <c r="U70">
        <v>6352</v>
      </c>
      <c r="V70">
        <v>698</v>
      </c>
      <c r="X70">
        <v>11176</v>
      </c>
      <c r="Y70">
        <v>9059</v>
      </c>
      <c r="AA70" s="145">
        <v>2122</v>
      </c>
      <c r="AB70" s="145">
        <v>6352</v>
      </c>
      <c r="AC70" s="145">
        <v>698</v>
      </c>
      <c r="AD70" s="145">
        <v>9091</v>
      </c>
      <c r="AF70" s="145">
        <v>9059</v>
      </c>
    </row>
    <row r="71" spans="1:32" x14ac:dyDescent="0.3">
      <c r="B71" s="117">
        <v>0.41805555555555557</v>
      </c>
      <c r="C71">
        <v>69</v>
      </c>
      <c r="D71" s="145">
        <v>8012</v>
      </c>
      <c r="E71" s="145">
        <v>244</v>
      </c>
      <c r="F71">
        <v>1165</v>
      </c>
      <c r="G71" s="145">
        <v>991</v>
      </c>
      <c r="H71">
        <v>1212</v>
      </c>
      <c r="I71" s="66">
        <v>9704</v>
      </c>
      <c r="J71" s="66">
        <v>3</v>
      </c>
      <c r="K71" s="164"/>
      <c r="M71">
        <v>69</v>
      </c>
      <c r="N71" s="66">
        <v>991</v>
      </c>
      <c r="O71">
        <v>9704</v>
      </c>
      <c r="P71">
        <v>8012</v>
      </c>
      <c r="U71">
        <v>244</v>
      </c>
      <c r="V71">
        <v>1165</v>
      </c>
      <c r="X71">
        <v>1212</v>
      </c>
    </row>
    <row r="72" spans="1:32" x14ac:dyDescent="0.3">
      <c r="B72" s="117">
        <v>0.4236111111111111</v>
      </c>
      <c r="C72">
        <v>70</v>
      </c>
      <c r="D72" s="145">
        <v>10905</v>
      </c>
      <c r="E72" s="145">
        <v>3019</v>
      </c>
      <c r="F72" s="145">
        <v>5933</v>
      </c>
      <c r="G72" s="66">
        <v>60</v>
      </c>
      <c r="H72" s="145">
        <v>7333</v>
      </c>
      <c r="I72">
        <v>3243</v>
      </c>
      <c r="J72" s="66">
        <v>2</v>
      </c>
      <c r="K72" s="164"/>
      <c r="M72">
        <v>70</v>
      </c>
      <c r="N72" s="66">
        <v>60</v>
      </c>
      <c r="O72">
        <v>7333</v>
      </c>
      <c r="P72" s="118"/>
      <c r="T72">
        <v>10905</v>
      </c>
      <c r="U72">
        <v>3019</v>
      </c>
      <c r="V72">
        <v>5933</v>
      </c>
      <c r="Y72">
        <v>3243</v>
      </c>
    </row>
    <row r="73" spans="1:32" x14ac:dyDescent="0.3">
      <c r="B73" s="117">
        <v>0.42916666666666664</v>
      </c>
      <c r="C73">
        <v>71</v>
      </c>
      <c r="D73" s="145">
        <v>8717</v>
      </c>
      <c r="E73" s="145">
        <v>2840</v>
      </c>
      <c r="F73" s="145">
        <v>2662</v>
      </c>
      <c r="G73" s="93">
        <v>996</v>
      </c>
      <c r="H73">
        <v>7755</v>
      </c>
      <c r="I73" s="66">
        <v>7426</v>
      </c>
      <c r="J73" s="66">
        <v>2</v>
      </c>
      <c r="K73" s="164">
        <v>2</v>
      </c>
      <c r="L73" t="s">
        <v>301</v>
      </c>
      <c r="M73">
        <v>71</v>
      </c>
      <c r="N73">
        <v>996</v>
      </c>
      <c r="O73">
        <v>2840</v>
      </c>
      <c r="P73">
        <v>7426</v>
      </c>
      <c r="T73">
        <v>8717</v>
      </c>
      <c r="V73">
        <v>2662</v>
      </c>
      <c r="X73">
        <v>7755</v>
      </c>
    </row>
    <row r="74" spans="1:32" x14ac:dyDescent="0.3">
      <c r="B74" s="117">
        <v>0.43472222222222223</v>
      </c>
      <c r="C74" s="66">
        <v>72</v>
      </c>
      <c r="D74" s="145">
        <v>987</v>
      </c>
      <c r="E74" s="145">
        <v>1410</v>
      </c>
      <c r="F74" s="145">
        <v>10933</v>
      </c>
      <c r="G74" s="145">
        <v>10183</v>
      </c>
      <c r="H74">
        <v>2486</v>
      </c>
      <c r="I74" s="145">
        <v>7425</v>
      </c>
      <c r="J74" s="66">
        <v>2</v>
      </c>
      <c r="K74" s="164"/>
      <c r="L74" t="s">
        <v>644</v>
      </c>
      <c r="M74">
        <v>72</v>
      </c>
      <c r="N74">
        <v>1410</v>
      </c>
      <c r="O74">
        <v>10183</v>
      </c>
      <c r="P74">
        <v>10933</v>
      </c>
      <c r="T74">
        <v>987</v>
      </c>
      <c r="X74">
        <v>2486</v>
      </c>
      <c r="Y74">
        <v>7425</v>
      </c>
    </row>
    <row r="75" spans="1:32" x14ac:dyDescent="0.3">
      <c r="B75" s="117">
        <v>0.44027777777777777</v>
      </c>
      <c r="C75">
        <v>73</v>
      </c>
      <c r="D75" s="66">
        <v>10114</v>
      </c>
      <c r="E75" s="145">
        <v>3216</v>
      </c>
      <c r="F75" s="145">
        <v>3944</v>
      </c>
      <c r="G75" s="145">
        <v>2080</v>
      </c>
      <c r="H75">
        <v>3009</v>
      </c>
      <c r="I75" s="145">
        <v>2478</v>
      </c>
      <c r="J75" s="66">
        <v>1</v>
      </c>
      <c r="K75" s="164"/>
      <c r="M75">
        <v>73</v>
      </c>
      <c r="N75">
        <v>2080</v>
      </c>
      <c r="O75">
        <v>10114</v>
      </c>
      <c r="P75">
        <v>3944</v>
      </c>
      <c r="U75">
        <v>3216</v>
      </c>
      <c r="X75">
        <v>3009</v>
      </c>
      <c r="Y75">
        <v>2478</v>
      </c>
    </row>
    <row r="76" spans="1:32" x14ac:dyDescent="0.3">
      <c r="B76" s="117">
        <v>0.44583333333333336</v>
      </c>
      <c r="C76">
        <v>74</v>
      </c>
      <c r="D76" s="145">
        <v>10380</v>
      </c>
      <c r="E76" s="145">
        <v>2403</v>
      </c>
      <c r="F76" s="145">
        <v>10506</v>
      </c>
      <c r="G76" s="66">
        <v>10980</v>
      </c>
      <c r="H76" s="145">
        <v>9501</v>
      </c>
      <c r="I76" s="145">
        <v>6352</v>
      </c>
      <c r="J76" s="66">
        <v>2</v>
      </c>
      <c r="K76" s="164"/>
      <c r="M76">
        <v>74</v>
      </c>
      <c r="N76">
        <v>10980</v>
      </c>
      <c r="O76">
        <v>9501</v>
      </c>
      <c r="P76">
        <v>10506</v>
      </c>
      <c r="T76">
        <v>10380</v>
      </c>
      <c r="U76">
        <v>2403</v>
      </c>
      <c r="Y76">
        <v>6352</v>
      </c>
    </row>
    <row r="77" spans="1:32" x14ac:dyDescent="0.3">
      <c r="B77" s="117">
        <v>0.4513888888888889</v>
      </c>
      <c r="C77">
        <v>75</v>
      </c>
      <c r="D77" s="145">
        <v>288</v>
      </c>
      <c r="E77" s="145">
        <v>8012</v>
      </c>
      <c r="F77" s="145">
        <v>9534</v>
      </c>
      <c r="G77" s="145">
        <v>6479</v>
      </c>
      <c r="H77" s="145">
        <v>2122</v>
      </c>
      <c r="I77">
        <v>3245</v>
      </c>
      <c r="J77" s="66">
        <v>2</v>
      </c>
      <c r="K77" s="164"/>
      <c r="M77">
        <v>75</v>
      </c>
      <c r="N77">
        <v>288</v>
      </c>
      <c r="O77">
        <v>8012</v>
      </c>
      <c r="V77">
        <v>9534</v>
      </c>
      <c r="W77">
        <v>6479</v>
      </c>
      <c r="X77">
        <v>2122</v>
      </c>
      <c r="Y77">
        <v>3245</v>
      </c>
    </row>
    <row r="78" spans="1:32" x14ac:dyDescent="0.3">
      <c r="B78" s="117">
        <v>0.45694444444444443</v>
      </c>
      <c r="C78">
        <v>76</v>
      </c>
      <c r="D78" s="145">
        <v>7333</v>
      </c>
      <c r="E78" s="145">
        <v>10988</v>
      </c>
      <c r="F78" s="145">
        <v>1828</v>
      </c>
      <c r="G78">
        <v>60</v>
      </c>
      <c r="H78">
        <v>6413</v>
      </c>
      <c r="I78">
        <v>991</v>
      </c>
      <c r="J78" s="66">
        <v>1</v>
      </c>
      <c r="K78" s="164">
        <v>3</v>
      </c>
      <c r="L78" t="s">
        <v>301</v>
      </c>
      <c r="M78">
        <v>76</v>
      </c>
      <c r="N78">
        <v>7333</v>
      </c>
      <c r="U78">
        <v>10988</v>
      </c>
      <c r="V78">
        <v>1828</v>
      </c>
      <c r="W78">
        <v>60</v>
      </c>
      <c r="X78">
        <v>6413</v>
      </c>
      <c r="Y78">
        <v>991</v>
      </c>
    </row>
    <row r="79" spans="1:32" x14ac:dyDescent="0.3">
      <c r="B79" s="117">
        <v>0.46250000000000002</v>
      </c>
      <c r="C79">
        <v>77</v>
      </c>
      <c r="D79" s="145">
        <v>9704</v>
      </c>
      <c r="E79" s="145">
        <v>9091</v>
      </c>
      <c r="F79" s="145">
        <v>7755</v>
      </c>
      <c r="G79" s="66">
        <v>9777</v>
      </c>
      <c r="H79" s="145">
        <v>4731</v>
      </c>
      <c r="I79" s="145" t="s">
        <v>677</v>
      </c>
      <c r="J79" s="66">
        <v>2</v>
      </c>
      <c r="K79" s="164"/>
      <c r="L79" t="s">
        <v>302</v>
      </c>
      <c r="M79">
        <v>77</v>
      </c>
      <c r="N79">
        <v>4731</v>
      </c>
      <c r="O79">
        <v>9704</v>
      </c>
      <c r="P79">
        <v>9777</v>
      </c>
      <c r="Q79">
        <v>9091</v>
      </c>
      <c r="V79">
        <v>7755</v>
      </c>
      <c r="Y79">
        <v>3019</v>
      </c>
    </row>
    <row r="80" spans="1:32" x14ac:dyDescent="0.3">
      <c r="B80" s="117">
        <v>0.46805555555555556</v>
      </c>
      <c r="C80">
        <v>78</v>
      </c>
      <c r="D80" s="66">
        <v>244</v>
      </c>
      <c r="E80" s="93">
        <v>2662</v>
      </c>
      <c r="F80" s="67">
        <v>698</v>
      </c>
      <c r="G80" s="66">
        <v>3424</v>
      </c>
      <c r="H80" s="67">
        <v>7425</v>
      </c>
      <c r="I80" s="67">
        <v>10933</v>
      </c>
      <c r="J80" s="66">
        <v>3</v>
      </c>
      <c r="K80" s="164"/>
      <c r="L80" t="s">
        <v>615</v>
      </c>
      <c r="M80">
        <v>78</v>
      </c>
      <c r="N80">
        <v>244</v>
      </c>
      <c r="O80">
        <v>698</v>
      </c>
      <c r="P80">
        <v>3424</v>
      </c>
      <c r="Q80">
        <v>10933</v>
      </c>
      <c r="U80">
        <v>2662</v>
      </c>
      <c r="X80">
        <v>7425</v>
      </c>
    </row>
    <row r="81" spans="2:25" x14ac:dyDescent="0.3">
      <c r="B81" s="117">
        <v>0.47361111111111109</v>
      </c>
      <c r="C81">
        <v>79</v>
      </c>
      <c r="D81" s="66">
        <v>7426</v>
      </c>
      <c r="E81" s="93">
        <v>8717</v>
      </c>
      <c r="F81">
        <v>11100</v>
      </c>
      <c r="G81">
        <v>10905</v>
      </c>
      <c r="H81" s="66">
        <v>1410</v>
      </c>
      <c r="I81" s="66">
        <v>11479</v>
      </c>
      <c r="J81" s="66">
        <v>2</v>
      </c>
      <c r="K81" s="164"/>
      <c r="M81">
        <v>79</v>
      </c>
      <c r="N81">
        <v>1410</v>
      </c>
      <c r="O81">
        <v>7426</v>
      </c>
      <c r="P81">
        <v>11479</v>
      </c>
      <c r="U81">
        <v>8717</v>
      </c>
      <c r="V81">
        <v>11100</v>
      </c>
      <c r="W81">
        <v>10905</v>
      </c>
    </row>
    <row r="82" spans="2:25" x14ac:dyDescent="0.3">
      <c r="B82" s="117">
        <v>0.47916666666666669</v>
      </c>
      <c r="C82">
        <v>80</v>
      </c>
      <c r="D82">
        <v>3009</v>
      </c>
      <c r="E82">
        <v>11176</v>
      </c>
      <c r="F82" s="66">
        <v>1165</v>
      </c>
      <c r="G82">
        <v>987</v>
      </c>
      <c r="H82" s="93">
        <v>5933</v>
      </c>
      <c r="I82" s="93">
        <v>996</v>
      </c>
      <c r="J82" s="66">
        <v>1</v>
      </c>
      <c r="K82" s="164"/>
      <c r="M82">
        <v>80</v>
      </c>
      <c r="N82">
        <v>1165</v>
      </c>
      <c r="T82">
        <v>3009</v>
      </c>
      <c r="U82">
        <v>11176</v>
      </c>
      <c r="W82">
        <v>987</v>
      </c>
      <c r="X82">
        <v>5933</v>
      </c>
      <c r="Y82">
        <v>996</v>
      </c>
    </row>
    <row r="83" spans="2:25" x14ac:dyDescent="0.3">
      <c r="B83" s="117">
        <v>0.48472222222222222</v>
      </c>
      <c r="C83">
        <v>81</v>
      </c>
      <c r="D83">
        <v>1212</v>
      </c>
      <c r="E83" s="93">
        <v>2662</v>
      </c>
      <c r="F83">
        <v>2486</v>
      </c>
      <c r="G83" s="66">
        <v>10980</v>
      </c>
      <c r="H83" s="66">
        <v>4146</v>
      </c>
      <c r="I83" s="66">
        <v>2080</v>
      </c>
      <c r="J83" s="66">
        <v>3</v>
      </c>
      <c r="M83">
        <v>81</v>
      </c>
      <c r="N83">
        <v>4146</v>
      </c>
      <c r="O83">
        <v>10980</v>
      </c>
      <c r="P83">
        <v>2478</v>
      </c>
      <c r="Q83">
        <v>2080</v>
      </c>
      <c r="T83">
        <v>1212</v>
      </c>
      <c r="V83">
        <v>2486</v>
      </c>
    </row>
    <row r="84" spans="2:25" x14ac:dyDescent="0.3">
      <c r="B84" s="117">
        <v>0.49027777777777776</v>
      </c>
      <c r="C84">
        <v>82</v>
      </c>
      <c r="D84">
        <v>3243</v>
      </c>
      <c r="E84">
        <v>2840</v>
      </c>
      <c r="F84" s="67">
        <v>3944</v>
      </c>
      <c r="G84">
        <v>3216</v>
      </c>
      <c r="H84">
        <v>9059</v>
      </c>
      <c r="I84">
        <v>10183</v>
      </c>
      <c r="J84">
        <v>2</v>
      </c>
      <c r="N84">
        <v>10183</v>
      </c>
      <c r="O84">
        <v>3944</v>
      </c>
      <c r="T84">
        <v>3243</v>
      </c>
      <c r="U84">
        <v>2840</v>
      </c>
      <c r="W84">
        <v>3216</v>
      </c>
      <c r="X84">
        <v>9059</v>
      </c>
    </row>
    <row r="85" spans="2:25" x14ac:dyDescent="0.3">
      <c r="B85" s="117">
        <v>0.49583333333333335</v>
      </c>
      <c r="C85">
        <v>83</v>
      </c>
      <c r="D85">
        <v>4775.4025604551898</v>
      </c>
      <c r="E85">
        <v>4847.8079658605902</v>
      </c>
      <c r="F85">
        <v>5287.6173541962999</v>
      </c>
      <c r="G85">
        <v>5698.8236130867699</v>
      </c>
      <c r="H85">
        <v>6513.3456614509296</v>
      </c>
      <c r="I85">
        <v>5822.0654338549102</v>
      </c>
      <c r="J85">
        <v>0</v>
      </c>
      <c r="N85">
        <v>288</v>
      </c>
      <c r="O85">
        <v>6833</v>
      </c>
      <c r="P85">
        <v>10114</v>
      </c>
      <c r="T85">
        <v>10380</v>
      </c>
      <c r="V85">
        <v>3019</v>
      </c>
      <c r="X85">
        <v>2122</v>
      </c>
    </row>
    <row r="87" spans="2:25" x14ac:dyDescent="0.3">
      <c r="J87" s="66"/>
    </row>
  </sheetData>
  <mergeCells count="16">
    <mergeCell ref="K73:K77"/>
    <mergeCell ref="K78:K82"/>
    <mergeCell ref="K3:K7"/>
    <mergeCell ref="K8:K12"/>
    <mergeCell ref="K13:K17"/>
    <mergeCell ref="K18:K22"/>
    <mergeCell ref="K23:K27"/>
    <mergeCell ref="K53:K57"/>
    <mergeCell ref="K58:K62"/>
    <mergeCell ref="K63:K67"/>
    <mergeCell ref="K68:K72"/>
    <mergeCell ref="K28:K32"/>
    <mergeCell ref="K33:K37"/>
    <mergeCell ref="K38:K42"/>
    <mergeCell ref="K43:K47"/>
    <mergeCell ref="K48:K52"/>
  </mergeCells>
  <conditionalFormatting sqref="D47:I85">
    <cfRule type="cellIs" dxfId="33" priority="267" operator="equal">
      <formula>$A$58</formula>
    </cfRule>
  </conditionalFormatting>
  <conditionalFormatting sqref="T3:Y3 O4:P4 W4:Y4 T4:T6 Q5:Q6 V5:Y6 T7:Y8 T9:W9 Y9 P9:P13 O10 T10 X10:Y10 T11:W11 Y11 O12 T12:U12 W12:X12 Q13 T13 W13:Y13 R14 T14:V14 X14:Y14 T15:Y15 T16 V16 Y16 R16:R18 P16:Q19 V17:W17 T18:U18 X18:X19 T19:V19 Q20:R20 T20:U20 W20:X20 T21:Y21 R22 T22:U22 W22:Y22 N23:Q23 U23:V23 T24:Y24 O25 V25:W25 Y25 P25:Q26 T26:U26 X26:Y26 T27:Y27 P28 U28:Y28 O29:P29 U29:W29 Y29 U30:Y30 N30:N31 O31:P31 U31 X31 P32 U32:Y32 T33 V33:Y33 Q33:Q34 U34:Y34 T35:Y36 Q37 T37:X37 T38 V38:Y38 P38:P39 O39 U39:W39 Y39 T40:Y41 O42 T42:X42 P43:Q44 U43:W44 Y43:Y44 T45:Y45 O46 T46 V46 X46 Q46:Q47 P46:P48 T47:U47 W47 Y47 T48 V48:Y48 T49:Y49 N50:P50 T50:U50 W50 N51 T51 V51:Y51 T52:Y52 W53:X53 O53:P54 T53:U54 W54 Y54 T55:Y57 T58:U59 W58:Y59 O58:O62 T60 V60:X60 P60:P62 T61:V61 X61 T62 V62:W62 Y62 N63 T63:V63 X63:Y63 O64:P64 T64 W64:Y64 T65:Y65 T66:V66 Y66 O66:P69 V67:Y67 T68 V68 X68:Y68 X69 T69:V70 N70 X70:Y70 P71 U71:X71 O71:O75 T72:W72 Y72 V73 X73 T73:T74 P73:P75 N73:N79 X74:Y75 U75 O76:P76 T76:U76 Y76 O77 V77:Y77 U78:Y78 O79:Q79 V79 Y79 N80:Q80 U80 X80 N81:P81 U81:W81 N82 T82:U82 W82:Y82 P83:Q83 T83 V83 N83:O84 T84:U84 W84:X84 N85:P85 T85 V85 X85">
    <cfRule type="cellIs" dxfId="32" priority="266" operator="equal">
      <formula>#REF!</formula>
    </cfRule>
  </conditionalFormatting>
  <conditionalFormatting sqref="AA56:AF70">
    <cfRule type="cellIs" dxfId="31" priority="1" operator="equal">
      <formula>$A$58</formula>
    </cfRule>
  </conditionalFormatting>
  <conditionalFormatting sqref="AI4:AI58">
    <cfRule type="cellIs" dxfId="30" priority="7" operator="lessThan">
      <formula>4</formula>
    </cfRule>
  </conditionalFormatting>
  <conditionalFormatting sqref="AJ4:AJ59">
    <cfRule type="cellIs" dxfId="29" priority="6" operator="lessThan">
      <formula>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9D23-8136-4A22-8199-22F0C616E135}">
  <dimension ref="A1:N99"/>
  <sheetViews>
    <sheetView tabSelected="1" workbookViewId="0">
      <selection sqref="A1:A99"/>
    </sheetView>
  </sheetViews>
  <sheetFormatPr defaultRowHeight="14.4" x14ac:dyDescent="0.3"/>
  <sheetData>
    <row r="1" spans="1:14" x14ac:dyDescent="0.3">
      <c r="A1" t="s">
        <v>711</v>
      </c>
      <c r="B1" t="s">
        <v>712</v>
      </c>
      <c r="C1" t="s">
        <v>299</v>
      </c>
      <c r="D1" t="s">
        <v>713</v>
      </c>
      <c r="E1" t="s">
        <v>36</v>
      </c>
      <c r="F1" t="s">
        <v>714</v>
      </c>
      <c r="G1" t="s">
        <v>37</v>
      </c>
      <c r="H1" t="s">
        <v>39</v>
      </c>
      <c r="I1" t="s">
        <v>41</v>
      </c>
      <c r="J1" t="s">
        <v>38</v>
      </c>
      <c r="K1" t="s">
        <v>40</v>
      </c>
      <c r="L1" t="s">
        <v>42</v>
      </c>
      <c r="M1" t="s">
        <v>715</v>
      </c>
      <c r="N1" t="s">
        <v>716</v>
      </c>
    </row>
    <row r="2" spans="1:14" x14ac:dyDescent="0.3">
      <c r="A2" t="s">
        <v>717</v>
      </c>
      <c r="B2" s="177">
        <v>46094</v>
      </c>
      <c r="C2" s="117">
        <v>0.36805555555555558</v>
      </c>
      <c r="D2" t="s">
        <v>718</v>
      </c>
      <c r="E2">
        <v>1</v>
      </c>
      <c r="F2">
        <v>1</v>
      </c>
      <c r="G2">
        <v>6479</v>
      </c>
      <c r="H2">
        <v>5933</v>
      </c>
      <c r="I2">
        <v>9091</v>
      </c>
      <c r="J2">
        <v>2840</v>
      </c>
      <c r="K2">
        <v>2403</v>
      </c>
      <c r="L2">
        <v>10114</v>
      </c>
      <c r="M2">
        <v>93</v>
      </c>
      <c r="N2">
        <v>53</v>
      </c>
    </row>
    <row r="3" spans="1:14" x14ac:dyDescent="0.3">
      <c r="A3" t="s">
        <v>719</v>
      </c>
      <c r="B3" s="177">
        <v>46094</v>
      </c>
      <c r="C3" s="117">
        <v>0.37361111111111112</v>
      </c>
      <c r="D3" t="s">
        <v>718</v>
      </c>
      <c r="E3">
        <v>2</v>
      </c>
      <c r="F3">
        <v>1</v>
      </c>
      <c r="G3">
        <v>10380</v>
      </c>
      <c r="H3">
        <v>2478</v>
      </c>
      <c r="I3">
        <v>6833</v>
      </c>
      <c r="J3">
        <v>991</v>
      </c>
      <c r="K3">
        <v>10905</v>
      </c>
      <c r="L3">
        <v>2662</v>
      </c>
      <c r="M3">
        <v>48</v>
      </c>
      <c r="N3">
        <v>32</v>
      </c>
    </row>
    <row r="4" spans="1:14" x14ac:dyDescent="0.3">
      <c r="A4" t="s">
        <v>720</v>
      </c>
      <c r="B4" s="177">
        <v>46094</v>
      </c>
      <c r="C4" s="117">
        <v>0.37916666666666665</v>
      </c>
      <c r="D4" t="s">
        <v>718</v>
      </c>
      <c r="E4">
        <v>3</v>
      </c>
      <c r="F4">
        <v>1</v>
      </c>
      <c r="G4">
        <v>9704</v>
      </c>
      <c r="H4">
        <v>3424</v>
      </c>
      <c r="I4">
        <v>987</v>
      </c>
      <c r="J4">
        <v>10506</v>
      </c>
      <c r="K4">
        <v>9059</v>
      </c>
      <c r="L4">
        <v>7426</v>
      </c>
      <c r="M4">
        <v>128</v>
      </c>
      <c r="N4">
        <v>235</v>
      </c>
    </row>
    <row r="5" spans="1:14" x14ac:dyDescent="0.3">
      <c r="A5" t="s">
        <v>721</v>
      </c>
      <c r="B5" s="177">
        <v>46094</v>
      </c>
      <c r="C5" s="117">
        <v>0.38472222222222224</v>
      </c>
      <c r="D5" t="s">
        <v>718</v>
      </c>
      <c r="E5">
        <v>4</v>
      </c>
      <c r="F5">
        <v>1</v>
      </c>
      <c r="G5">
        <v>996</v>
      </c>
      <c r="H5">
        <v>244</v>
      </c>
      <c r="I5">
        <v>8717</v>
      </c>
      <c r="J5">
        <v>288</v>
      </c>
      <c r="K5">
        <v>698</v>
      </c>
      <c r="L5">
        <v>2486</v>
      </c>
      <c r="M5">
        <v>47</v>
      </c>
      <c r="N5">
        <v>102</v>
      </c>
    </row>
    <row r="6" spans="1:14" x14ac:dyDescent="0.3">
      <c r="A6" t="s">
        <v>722</v>
      </c>
      <c r="B6" s="177">
        <v>46094</v>
      </c>
      <c r="C6" s="117">
        <v>0.39027777777777778</v>
      </c>
      <c r="D6" t="s">
        <v>718</v>
      </c>
      <c r="E6">
        <v>5</v>
      </c>
      <c r="F6">
        <v>1</v>
      </c>
      <c r="G6">
        <v>3019</v>
      </c>
      <c r="H6">
        <v>6352</v>
      </c>
      <c r="I6">
        <v>1165</v>
      </c>
      <c r="J6">
        <v>3944</v>
      </c>
      <c r="K6">
        <v>9534</v>
      </c>
      <c r="L6">
        <v>6413</v>
      </c>
      <c r="M6">
        <v>48</v>
      </c>
      <c r="N6">
        <v>16</v>
      </c>
    </row>
    <row r="7" spans="1:14" x14ac:dyDescent="0.3">
      <c r="A7" t="s">
        <v>723</v>
      </c>
      <c r="B7" s="177">
        <v>46094</v>
      </c>
      <c r="C7" s="117">
        <v>0.39583333333333331</v>
      </c>
      <c r="D7" t="s">
        <v>718</v>
      </c>
      <c r="E7">
        <v>6</v>
      </c>
      <c r="F7">
        <v>1</v>
      </c>
      <c r="G7">
        <v>10988</v>
      </c>
      <c r="H7">
        <v>10980</v>
      </c>
      <c r="I7">
        <v>3216</v>
      </c>
      <c r="J7">
        <v>11176</v>
      </c>
      <c r="K7">
        <v>8012</v>
      </c>
      <c r="L7">
        <v>11100</v>
      </c>
      <c r="M7">
        <v>122</v>
      </c>
      <c r="N7">
        <v>9</v>
      </c>
    </row>
    <row r="8" spans="1:14" x14ac:dyDescent="0.3">
      <c r="A8" t="s">
        <v>724</v>
      </c>
      <c r="B8" s="177">
        <v>46094</v>
      </c>
      <c r="C8" s="117">
        <v>0.40138888888888891</v>
      </c>
      <c r="D8" t="s">
        <v>718</v>
      </c>
      <c r="E8">
        <v>7</v>
      </c>
      <c r="F8">
        <v>1</v>
      </c>
      <c r="G8">
        <v>10183</v>
      </c>
      <c r="H8">
        <v>2122</v>
      </c>
      <c r="I8">
        <v>60</v>
      </c>
      <c r="J8">
        <v>11479</v>
      </c>
      <c r="K8">
        <v>9777</v>
      </c>
      <c r="L8">
        <v>9501</v>
      </c>
      <c r="M8">
        <v>311</v>
      </c>
      <c r="N8">
        <v>94</v>
      </c>
    </row>
    <row r="9" spans="1:14" x14ac:dyDescent="0.3">
      <c r="A9" t="s">
        <v>725</v>
      </c>
      <c r="B9" s="177">
        <v>46094</v>
      </c>
      <c r="C9" s="117">
        <v>0.40694444444444444</v>
      </c>
      <c r="D9" t="s">
        <v>718</v>
      </c>
      <c r="E9">
        <v>8</v>
      </c>
      <c r="F9">
        <v>1</v>
      </c>
      <c r="G9">
        <v>1212</v>
      </c>
      <c r="H9">
        <v>4731</v>
      </c>
      <c r="I9">
        <v>7333</v>
      </c>
      <c r="J9">
        <v>2080</v>
      </c>
      <c r="K9">
        <v>10933</v>
      </c>
      <c r="L9">
        <v>1828</v>
      </c>
      <c r="M9">
        <v>83</v>
      </c>
      <c r="N9">
        <v>33</v>
      </c>
    </row>
    <row r="10" spans="1:14" x14ac:dyDescent="0.3">
      <c r="A10" t="s">
        <v>726</v>
      </c>
      <c r="B10" s="177">
        <v>46094</v>
      </c>
      <c r="C10" s="117">
        <v>0.41249999999999998</v>
      </c>
      <c r="D10" t="s">
        <v>718</v>
      </c>
      <c r="E10">
        <v>9</v>
      </c>
      <c r="F10">
        <v>1</v>
      </c>
      <c r="G10">
        <v>4146</v>
      </c>
      <c r="H10">
        <v>3009</v>
      </c>
      <c r="I10">
        <v>3243</v>
      </c>
      <c r="J10">
        <v>7755</v>
      </c>
      <c r="K10">
        <v>3245</v>
      </c>
      <c r="L10">
        <v>1410</v>
      </c>
      <c r="M10">
        <v>70</v>
      </c>
      <c r="N10">
        <v>177</v>
      </c>
    </row>
    <row r="11" spans="1:14" x14ac:dyDescent="0.3">
      <c r="A11" t="s">
        <v>727</v>
      </c>
      <c r="B11" s="177">
        <v>46094</v>
      </c>
      <c r="C11" s="117">
        <v>0.41805555555555557</v>
      </c>
      <c r="D11" t="s">
        <v>718</v>
      </c>
      <c r="E11">
        <v>10</v>
      </c>
      <c r="F11">
        <v>1</v>
      </c>
      <c r="G11">
        <v>5933</v>
      </c>
      <c r="H11">
        <v>7425</v>
      </c>
      <c r="I11">
        <v>2478</v>
      </c>
      <c r="J11">
        <v>9059</v>
      </c>
      <c r="K11">
        <v>6833</v>
      </c>
      <c r="L11">
        <v>3424</v>
      </c>
      <c r="M11">
        <v>55</v>
      </c>
      <c r="N11">
        <v>22</v>
      </c>
    </row>
    <row r="12" spans="1:14" x14ac:dyDescent="0.3">
      <c r="A12" t="s">
        <v>728</v>
      </c>
      <c r="B12" s="177">
        <v>46094</v>
      </c>
      <c r="C12" s="117">
        <v>0.43055555555555558</v>
      </c>
      <c r="D12" t="s">
        <v>718</v>
      </c>
      <c r="E12">
        <v>11</v>
      </c>
      <c r="F12">
        <v>1</v>
      </c>
      <c r="G12">
        <v>9534</v>
      </c>
      <c r="H12">
        <v>996</v>
      </c>
      <c r="I12">
        <v>9704</v>
      </c>
      <c r="J12">
        <v>9091</v>
      </c>
      <c r="K12">
        <v>6413</v>
      </c>
      <c r="L12">
        <v>10905</v>
      </c>
      <c r="M12">
        <v>14</v>
      </c>
      <c r="N12">
        <v>49</v>
      </c>
    </row>
    <row r="13" spans="1:14" x14ac:dyDescent="0.3">
      <c r="A13" t="s">
        <v>729</v>
      </c>
      <c r="B13" s="177">
        <v>46094</v>
      </c>
      <c r="C13" s="117">
        <v>0.43611111111111112</v>
      </c>
      <c r="D13" t="s">
        <v>718</v>
      </c>
      <c r="E13">
        <v>12</v>
      </c>
      <c r="F13">
        <v>1</v>
      </c>
      <c r="G13">
        <v>3944</v>
      </c>
      <c r="H13">
        <v>288</v>
      </c>
      <c r="I13">
        <v>6479</v>
      </c>
      <c r="J13">
        <v>244</v>
      </c>
      <c r="K13">
        <v>991</v>
      </c>
      <c r="L13">
        <v>11176</v>
      </c>
      <c r="M13">
        <v>109</v>
      </c>
      <c r="N13">
        <v>119</v>
      </c>
    </row>
    <row r="14" spans="1:14" x14ac:dyDescent="0.3">
      <c r="A14" t="s">
        <v>730</v>
      </c>
      <c r="B14" s="177">
        <v>46094</v>
      </c>
      <c r="C14" s="117">
        <v>0.44166666666666665</v>
      </c>
      <c r="D14" t="s">
        <v>718</v>
      </c>
      <c r="E14">
        <v>13</v>
      </c>
      <c r="F14">
        <v>1</v>
      </c>
      <c r="G14">
        <v>2403</v>
      </c>
      <c r="H14">
        <v>2486</v>
      </c>
      <c r="I14">
        <v>10988</v>
      </c>
      <c r="J14">
        <v>1165</v>
      </c>
      <c r="K14">
        <v>8717</v>
      </c>
      <c r="L14">
        <v>2122</v>
      </c>
      <c r="M14">
        <v>63</v>
      </c>
      <c r="N14">
        <v>213</v>
      </c>
    </row>
    <row r="15" spans="1:14" x14ac:dyDescent="0.3">
      <c r="A15" t="s">
        <v>731</v>
      </c>
      <c r="B15" s="177">
        <v>46094</v>
      </c>
      <c r="C15" s="117">
        <v>0.44722222222222224</v>
      </c>
      <c r="D15" t="s">
        <v>718</v>
      </c>
      <c r="E15">
        <v>14</v>
      </c>
      <c r="F15">
        <v>1</v>
      </c>
      <c r="G15">
        <v>10506</v>
      </c>
      <c r="H15">
        <v>10183</v>
      </c>
      <c r="I15">
        <v>8012</v>
      </c>
      <c r="J15">
        <v>7426</v>
      </c>
      <c r="K15">
        <v>2080</v>
      </c>
      <c r="L15">
        <v>3019</v>
      </c>
      <c r="M15">
        <v>16</v>
      </c>
      <c r="N15">
        <v>76</v>
      </c>
    </row>
    <row r="16" spans="1:14" x14ac:dyDescent="0.3">
      <c r="A16" t="s">
        <v>732</v>
      </c>
      <c r="B16" s="177">
        <v>46094</v>
      </c>
      <c r="C16" s="117">
        <v>0.45277777777777778</v>
      </c>
      <c r="D16" t="s">
        <v>718</v>
      </c>
      <c r="E16">
        <v>15</v>
      </c>
      <c r="F16">
        <v>1</v>
      </c>
      <c r="G16">
        <v>10114</v>
      </c>
      <c r="H16">
        <v>9501</v>
      </c>
      <c r="I16">
        <v>1212</v>
      </c>
      <c r="J16">
        <v>2662</v>
      </c>
      <c r="K16">
        <v>7333</v>
      </c>
      <c r="L16">
        <v>1410</v>
      </c>
      <c r="M16">
        <v>108</v>
      </c>
      <c r="N16">
        <v>84</v>
      </c>
    </row>
    <row r="17" spans="1:14" x14ac:dyDescent="0.3">
      <c r="A17" t="s">
        <v>733</v>
      </c>
      <c r="B17" s="177">
        <v>46094</v>
      </c>
      <c r="C17" s="117">
        <v>0.45833333333333331</v>
      </c>
      <c r="D17" t="s">
        <v>718</v>
      </c>
      <c r="E17">
        <v>16</v>
      </c>
      <c r="F17">
        <v>1</v>
      </c>
      <c r="G17">
        <v>6352</v>
      </c>
      <c r="H17">
        <v>7755</v>
      </c>
      <c r="I17">
        <v>4146</v>
      </c>
      <c r="J17">
        <v>10933</v>
      </c>
      <c r="K17">
        <v>60</v>
      </c>
      <c r="L17">
        <v>3216</v>
      </c>
      <c r="M17">
        <v>51</v>
      </c>
      <c r="N17">
        <v>112</v>
      </c>
    </row>
    <row r="18" spans="1:14" x14ac:dyDescent="0.3">
      <c r="A18" t="s">
        <v>734</v>
      </c>
      <c r="B18" s="177">
        <v>46094</v>
      </c>
      <c r="C18" s="117">
        <v>0.46388888888888891</v>
      </c>
      <c r="D18" t="s">
        <v>718</v>
      </c>
      <c r="E18">
        <v>17</v>
      </c>
      <c r="F18">
        <v>1</v>
      </c>
      <c r="G18">
        <v>698</v>
      </c>
      <c r="H18">
        <v>987</v>
      </c>
      <c r="I18">
        <v>11479</v>
      </c>
      <c r="J18">
        <v>10980</v>
      </c>
      <c r="K18">
        <v>1828</v>
      </c>
      <c r="L18">
        <v>9777</v>
      </c>
      <c r="M18">
        <v>124</v>
      </c>
      <c r="N18">
        <v>90</v>
      </c>
    </row>
    <row r="19" spans="1:14" x14ac:dyDescent="0.3">
      <c r="A19" t="s">
        <v>735</v>
      </c>
      <c r="B19" s="177">
        <v>46094</v>
      </c>
      <c r="C19" s="117">
        <v>0.46944444444444444</v>
      </c>
      <c r="D19" t="s">
        <v>718</v>
      </c>
      <c r="E19">
        <v>18</v>
      </c>
      <c r="F19">
        <v>1</v>
      </c>
      <c r="G19">
        <v>3243</v>
      </c>
      <c r="H19">
        <v>11100</v>
      </c>
      <c r="I19">
        <v>4731</v>
      </c>
      <c r="J19">
        <v>7425</v>
      </c>
      <c r="K19">
        <v>3009</v>
      </c>
      <c r="L19">
        <v>2840</v>
      </c>
      <c r="M19">
        <v>79</v>
      </c>
      <c r="N19">
        <v>99</v>
      </c>
    </row>
    <row r="20" spans="1:14" x14ac:dyDescent="0.3">
      <c r="A20" t="s">
        <v>736</v>
      </c>
      <c r="B20" s="177">
        <v>46094</v>
      </c>
      <c r="C20" s="117">
        <v>0.47499999999999998</v>
      </c>
      <c r="D20" t="s">
        <v>718</v>
      </c>
      <c r="E20">
        <v>19</v>
      </c>
      <c r="F20">
        <v>1</v>
      </c>
      <c r="G20">
        <v>1165</v>
      </c>
      <c r="H20">
        <v>3245</v>
      </c>
      <c r="I20">
        <v>9059</v>
      </c>
      <c r="J20">
        <v>8717</v>
      </c>
      <c r="K20">
        <v>6479</v>
      </c>
      <c r="L20">
        <v>10380</v>
      </c>
      <c r="M20">
        <v>53</v>
      </c>
      <c r="N20">
        <v>71</v>
      </c>
    </row>
    <row r="21" spans="1:14" x14ac:dyDescent="0.3">
      <c r="A21" t="s">
        <v>737</v>
      </c>
      <c r="B21" s="177">
        <v>46094</v>
      </c>
      <c r="C21" s="117">
        <v>0.48055555555555557</v>
      </c>
      <c r="D21" t="s">
        <v>718</v>
      </c>
      <c r="E21">
        <v>20</v>
      </c>
      <c r="F21">
        <v>1</v>
      </c>
      <c r="G21">
        <v>2486</v>
      </c>
      <c r="H21">
        <v>2122</v>
      </c>
      <c r="I21">
        <v>996</v>
      </c>
      <c r="J21">
        <v>3019</v>
      </c>
      <c r="K21">
        <v>10506</v>
      </c>
      <c r="L21">
        <v>2478</v>
      </c>
      <c r="M21">
        <v>209</v>
      </c>
      <c r="N21">
        <v>61</v>
      </c>
    </row>
    <row r="22" spans="1:14" x14ac:dyDescent="0.3">
      <c r="A22" t="s">
        <v>738</v>
      </c>
      <c r="B22" s="177">
        <v>46094</v>
      </c>
      <c r="C22" s="117">
        <v>0.4861111111111111</v>
      </c>
      <c r="D22" t="s">
        <v>718</v>
      </c>
      <c r="E22">
        <v>21</v>
      </c>
      <c r="F22">
        <v>1</v>
      </c>
      <c r="G22">
        <v>2662</v>
      </c>
      <c r="H22">
        <v>9091</v>
      </c>
      <c r="I22">
        <v>288</v>
      </c>
      <c r="J22">
        <v>7333</v>
      </c>
      <c r="K22">
        <v>3944</v>
      </c>
      <c r="L22">
        <v>8012</v>
      </c>
      <c r="M22">
        <v>26</v>
      </c>
      <c r="N22">
        <v>69</v>
      </c>
    </row>
    <row r="23" spans="1:14" x14ac:dyDescent="0.3">
      <c r="A23" t="s">
        <v>739</v>
      </c>
      <c r="B23" s="177">
        <v>46094</v>
      </c>
      <c r="C23" s="117">
        <v>0.49166666666666664</v>
      </c>
      <c r="D23" t="s">
        <v>718</v>
      </c>
      <c r="E23">
        <v>22</v>
      </c>
      <c r="F23">
        <v>1</v>
      </c>
      <c r="G23">
        <v>2403</v>
      </c>
      <c r="H23">
        <v>11176</v>
      </c>
      <c r="I23">
        <v>1212</v>
      </c>
      <c r="J23">
        <v>10183</v>
      </c>
      <c r="K23">
        <v>10905</v>
      </c>
      <c r="L23">
        <v>6833</v>
      </c>
      <c r="M23">
        <v>88</v>
      </c>
      <c r="N23">
        <v>100</v>
      </c>
    </row>
    <row r="24" spans="1:14" x14ac:dyDescent="0.3">
      <c r="A24" t="s">
        <v>740</v>
      </c>
      <c r="B24" s="177">
        <v>46094</v>
      </c>
      <c r="C24" s="117">
        <v>0.49722222222222223</v>
      </c>
      <c r="D24" t="s">
        <v>718</v>
      </c>
      <c r="E24">
        <v>23</v>
      </c>
      <c r="F24">
        <v>1</v>
      </c>
      <c r="G24">
        <v>3216</v>
      </c>
      <c r="H24">
        <v>2080</v>
      </c>
      <c r="I24">
        <v>11479</v>
      </c>
      <c r="J24">
        <v>9501</v>
      </c>
      <c r="K24">
        <v>698</v>
      </c>
      <c r="L24">
        <v>10933</v>
      </c>
      <c r="M24">
        <v>129</v>
      </c>
      <c r="N24">
        <v>108</v>
      </c>
    </row>
    <row r="25" spans="1:14" x14ac:dyDescent="0.3">
      <c r="A25" t="s">
        <v>741</v>
      </c>
      <c r="B25" s="177">
        <v>46094</v>
      </c>
      <c r="C25" s="117">
        <v>0.54166666666666663</v>
      </c>
      <c r="D25" t="s">
        <v>718</v>
      </c>
      <c r="E25">
        <v>24</v>
      </c>
      <c r="F25">
        <v>1</v>
      </c>
      <c r="G25">
        <v>6352</v>
      </c>
      <c r="H25">
        <v>9777</v>
      </c>
      <c r="I25">
        <v>2840</v>
      </c>
      <c r="J25">
        <v>1410</v>
      </c>
      <c r="K25">
        <v>10988</v>
      </c>
      <c r="L25">
        <v>3009</v>
      </c>
      <c r="M25">
        <v>58</v>
      </c>
      <c r="N25">
        <v>50</v>
      </c>
    </row>
    <row r="26" spans="1:14" x14ac:dyDescent="0.3">
      <c r="A26" t="s">
        <v>742</v>
      </c>
      <c r="B26" s="177">
        <v>46094</v>
      </c>
      <c r="C26" s="117">
        <v>0.54722222222222228</v>
      </c>
      <c r="D26" t="s">
        <v>718</v>
      </c>
      <c r="E26">
        <v>25</v>
      </c>
      <c r="F26">
        <v>1</v>
      </c>
      <c r="G26">
        <v>991</v>
      </c>
      <c r="H26">
        <v>9534</v>
      </c>
      <c r="I26">
        <v>3424</v>
      </c>
      <c r="J26">
        <v>7755</v>
      </c>
      <c r="K26">
        <v>3243</v>
      </c>
      <c r="L26">
        <v>987</v>
      </c>
      <c r="M26">
        <v>125</v>
      </c>
      <c r="N26">
        <v>116</v>
      </c>
    </row>
    <row r="27" spans="1:14" x14ac:dyDescent="0.3">
      <c r="A27" t="s">
        <v>743</v>
      </c>
      <c r="B27" s="177">
        <v>46094</v>
      </c>
      <c r="C27" s="117">
        <v>0.55277777777777781</v>
      </c>
      <c r="D27" t="s">
        <v>718</v>
      </c>
      <c r="E27">
        <v>26</v>
      </c>
      <c r="F27">
        <v>1</v>
      </c>
      <c r="G27">
        <v>4146</v>
      </c>
      <c r="H27">
        <v>7426</v>
      </c>
      <c r="I27">
        <v>5933</v>
      </c>
      <c r="J27">
        <v>6413</v>
      </c>
      <c r="K27">
        <v>1828</v>
      </c>
      <c r="L27">
        <v>10380</v>
      </c>
      <c r="M27">
        <v>186</v>
      </c>
      <c r="N27">
        <v>124</v>
      </c>
    </row>
    <row r="28" spans="1:14" x14ac:dyDescent="0.3">
      <c r="A28" t="s">
        <v>744</v>
      </c>
      <c r="B28" s="177">
        <v>46094</v>
      </c>
      <c r="C28" s="117">
        <v>0.55833333333333335</v>
      </c>
      <c r="D28" t="s">
        <v>718</v>
      </c>
      <c r="E28">
        <v>27</v>
      </c>
      <c r="F28">
        <v>1</v>
      </c>
      <c r="G28">
        <v>3245</v>
      </c>
      <c r="H28">
        <v>10114</v>
      </c>
      <c r="I28">
        <v>10980</v>
      </c>
      <c r="J28">
        <v>9704</v>
      </c>
      <c r="K28">
        <v>244</v>
      </c>
      <c r="L28">
        <v>7425</v>
      </c>
      <c r="M28">
        <v>124</v>
      </c>
      <c r="N28">
        <v>69</v>
      </c>
    </row>
    <row r="29" spans="1:14" x14ac:dyDescent="0.3">
      <c r="A29" t="s">
        <v>745</v>
      </c>
      <c r="B29" s="177">
        <v>46094</v>
      </c>
      <c r="C29" s="117">
        <v>0.56388888888888888</v>
      </c>
      <c r="D29" t="s">
        <v>718</v>
      </c>
      <c r="E29">
        <v>28</v>
      </c>
      <c r="F29">
        <v>1</v>
      </c>
      <c r="G29">
        <v>4731</v>
      </c>
      <c r="H29">
        <v>60</v>
      </c>
      <c r="I29">
        <v>9059</v>
      </c>
      <c r="J29">
        <v>11100</v>
      </c>
      <c r="K29">
        <v>2662</v>
      </c>
      <c r="L29">
        <v>996</v>
      </c>
      <c r="M29">
        <v>42</v>
      </c>
      <c r="N29">
        <v>22</v>
      </c>
    </row>
    <row r="30" spans="1:14" x14ac:dyDescent="0.3">
      <c r="A30" t="s">
        <v>746</v>
      </c>
      <c r="B30" s="177">
        <v>46094</v>
      </c>
      <c r="C30" s="117">
        <v>0.56944444444444442</v>
      </c>
      <c r="D30" t="s">
        <v>718</v>
      </c>
      <c r="E30">
        <v>29</v>
      </c>
      <c r="F30">
        <v>1</v>
      </c>
      <c r="G30">
        <v>11176</v>
      </c>
      <c r="H30">
        <v>11479</v>
      </c>
      <c r="I30">
        <v>7333</v>
      </c>
      <c r="J30">
        <v>1212</v>
      </c>
      <c r="K30">
        <v>1165</v>
      </c>
      <c r="L30">
        <v>10506</v>
      </c>
      <c r="M30">
        <v>87</v>
      </c>
      <c r="N30">
        <v>22</v>
      </c>
    </row>
    <row r="31" spans="1:14" x14ac:dyDescent="0.3">
      <c r="A31" t="s">
        <v>747</v>
      </c>
      <c r="B31" s="177">
        <v>46094</v>
      </c>
      <c r="C31" s="117">
        <v>0.57499999999999996</v>
      </c>
      <c r="D31" t="s">
        <v>718</v>
      </c>
      <c r="E31">
        <v>30</v>
      </c>
      <c r="F31">
        <v>1</v>
      </c>
      <c r="G31">
        <v>6833</v>
      </c>
      <c r="H31">
        <v>9501</v>
      </c>
      <c r="I31">
        <v>2486</v>
      </c>
      <c r="J31">
        <v>10988</v>
      </c>
      <c r="K31">
        <v>3944</v>
      </c>
      <c r="L31">
        <v>9091</v>
      </c>
      <c r="M31">
        <v>192</v>
      </c>
      <c r="N31">
        <v>17</v>
      </c>
    </row>
    <row r="32" spans="1:14" x14ac:dyDescent="0.3">
      <c r="A32" t="s">
        <v>748</v>
      </c>
      <c r="B32" s="177">
        <v>46094</v>
      </c>
      <c r="C32" s="117">
        <v>0.5805555555555556</v>
      </c>
      <c r="D32" t="s">
        <v>718</v>
      </c>
      <c r="E32">
        <v>31</v>
      </c>
      <c r="F32">
        <v>1</v>
      </c>
      <c r="G32">
        <v>3243</v>
      </c>
      <c r="H32">
        <v>2478</v>
      </c>
      <c r="I32">
        <v>288</v>
      </c>
      <c r="J32">
        <v>8012</v>
      </c>
      <c r="K32">
        <v>987</v>
      </c>
      <c r="L32">
        <v>2403</v>
      </c>
      <c r="M32">
        <v>103</v>
      </c>
      <c r="N32">
        <v>108</v>
      </c>
    </row>
    <row r="33" spans="1:14" x14ac:dyDescent="0.3">
      <c r="A33" t="s">
        <v>749</v>
      </c>
      <c r="B33" s="177">
        <v>46094</v>
      </c>
      <c r="C33" s="117">
        <v>0.58611111111111114</v>
      </c>
      <c r="D33" t="s">
        <v>718</v>
      </c>
      <c r="E33">
        <v>32</v>
      </c>
      <c r="F33">
        <v>1</v>
      </c>
      <c r="G33">
        <v>698</v>
      </c>
      <c r="H33">
        <v>10183</v>
      </c>
      <c r="I33">
        <v>1410</v>
      </c>
      <c r="J33">
        <v>6413</v>
      </c>
      <c r="K33">
        <v>6479</v>
      </c>
      <c r="L33">
        <v>7755</v>
      </c>
      <c r="M33">
        <v>135</v>
      </c>
      <c r="N33">
        <v>114</v>
      </c>
    </row>
    <row r="34" spans="1:14" x14ac:dyDescent="0.3">
      <c r="A34" t="s">
        <v>750</v>
      </c>
      <c r="B34" s="177">
        <v>46094</v>
      </c>
      <c r="C34" s="117">
        <v>0.59166666666666667</v>
      </c>
      <c r="D34" t="s">
        <v>718</v>
      </c>
      <c r="E34">
        <v>33</v>
      </c>
      <c r="F34">
        <v>1</v>
      </c>
      <c r="G34">
        <v>10905</v>
      </c>
      <c r="H34">
        <v>1828</v>
      </c>
      <c r="I34">
        <v>3009</v>
      </c>
      <c r="J34">
        <v>244</v>
      </c>
      <c r="K34">
        <v>3019</v>
      </c>
      <c r="L34">
        <v>10980</v>
      </c>
      <c r="M34">
        <v>29</v>
      </c>
      <c r="N34">
        <v>88</v>
      </c>
    </row>
    <row r="35" spans="1:14" x14ac:dyDescent="0.3">
      <c r="A35" t="s">
        <v>751</v>
      </c>
      <c r="B35" s="177">
        <v>46094</v>
      </c>
      <c r="C35" s="117">
        <v>0.59722222222222221</v>
      </c>
      <c r="D35" t="s">
        <v>718</v>
      </c>
      <c r="E35">
        <v>34</v>
      </c>
      <c r="F35">
        <v>1</v>
      </c>
      <c r="G35">
        <v>2080</v>
      </c>
      <c r="H35">
        <v>991</v>
      </c>
      <c r="I35">
        <v>6352</v>
      </c>
      <c r="J35">
        <v>5933</v>
      </c>
      <c r="K35">
        <v>11100</v>
      </c>
      <c r="L35">
        <v>3245</v>
      </c>
      <c r="M35">
        <v>68</v>
      </c>
      <c r="N35">
        <v>125</v>
      </c>
    </row>
    <row r="36" spans="1:14" x14ac:dyDescent="0.3">
      <c r="A36" t="s">
        <v>752</v>
      </c>
      <c r="B36" s="177">
        <v>46094</v>
      </c>
      <c r="C36" s="117">
        <v>0.60277777777777775</v>
      </c>
      <c r="D36" t="s">
        <v>718</v>
      </c>
      <c r="E36">
        <v>35</v>
      </c>
      <c r="F36">
        <v>1</v>
      </c>
      <c r="G36">
        <v>9777</v>
      </c>
      <c r="H36">
        <v>7426</v>
      </c>
      <c r="I36">
        <v>60</v>
      </c>
      <c r="J36">
        <v>9534</v>
      </c>
      <c r="K36">
        <v>7425</v>
      </c>
      <c r="L36">
        <v>3216</v>
      </c>
      <c r="M36">
        <v>273</v>
      </c>
      <c r="N36">
        <v>126</v>
      </c>
    </row>
    <row r="37" spans="1:14" x14ac:dyDescent="0.3">
      <c r="A37" t="s">
        <v>753</v>
      </c>
      <c r="B37" s="177">
        <v>46094</v>
      </c>
      <c r="C37" s="117">
        <v>0.60833333333333328</v>
      </c>
      <c r="D37" t="s">
        <v>718</v>
      </c>
      <c r="E37">
        <v>36</v>
      </c>
      <c r="F37">
        <v>1</v>
      </c>
      <c r="G37">
        <v>4731</v>
      </c>
      <c r="H37">
        <v>3424</v>
      </c>
      <c r="I37">
        <v>8717</v>
      </c>
      <c r="J37">
        <v>2122</v>
      </c>
      <c r="K37">
        <v>4146</v>
      </c>
      <c r="L37">
        <v>10114</v>
      </c>
      <c r="M37">
        <v>66</v>
      </c>
      <c r="N37">
        <v>255</v>
      </c>
    </row>
    <row r="38" spans="1:14" x14ac:dyDescent="0.3">
      <c r="A38" t="s">
        <v>754</v>
      </c>
      <c r="B38" s="177">
        <v>46094</v>
      </c>
      <c r="C38" s="117">
        <v>0.61388888888888893</v>
      </c>
      <c r="D38" t="s">
        <v>718</v>
      </c>
      <c r="E38">
        <v>37</v>
      </c>
      <c r="F38">
        <v>1</v>
      </c>
      <c r="G38">
        <v>2840</v>
      </c>
      <c r="H38">
        <v>10380</v>
      </c>
      <c r="I38">
        <v>9501</v>
      </c>
      <c r="J38">
        <v>10933</v>
      </c>
      <c r="K38">
        <v>9704</v>
      </c>
      <c r="L38">
        <v>11176</v>
      </c>
      <c r="M38">
        <v>144</v>
      </c>
      <c r="N38">
        <v>41</v>
      </c>
    </row>
    <row r="39" spans="1:14" x14ac:dyDescent="0.3">
      <c r="A39" t="s">
        <v>755</v>
      </c>
      <c r="B39" s="177">
        <v>46094</v>
      </c>
      <c r="C39" s="117">
        <v>0.61944444444444446</v>
      </c>
      <c r="D39" t="s">
        <v>718</v>
      </c>
      <c r="E39">
        <v>38</v>
      </c>
      <c r="F39">
        <v>1</v>
      </c>
      <c r="G39">
        <v>10506</v>
      </c>
      <c r="H39">
        <v>6413</v>
      </c>
      <c r="I39">
        <v>288</v>
      </c>
      <c r="J39">
        <v>9059</v>
      </c>
      <c r="K39">
        <v>3243</v>
      </c>
      <c r="L39">
        <v>1212</v>
      </c>
      <c r="M39">
        <v>138</v>
      </c>
      <c r="N39">
        <v>166</v>
      </c>
    </row>
    <row r="40" spans="1:14" x14ac:dyDescent="0.3">
      <c r="A40" t="s">
        <v>756</v>
      </c>
      <c r="B40" s="177">
        <v>46094</v>
      </c>
      <c r="C40" s="117">
        <v>0.625</v>
      </c>
      <c r="D40" t="s">
        <v>718</v>
      </c>
      <c r="E40">
        <v>39</v>
      </c>
      <c r="F40">
        <v>1</v>
      </c>
      <c r="G40">
        <v>7755</v>
      </c>
      <c r="H40">
        <v>3019</v>
      </c>
      <c r="I40">
        <v>2403</v>
      </c>
      <c r="J40">
        <v>2478</v>
      </c>
      <c r="K40">
        <v>11479</v>
      </c>
      <c r="L40">
        <v>244</v>
      </c>
      <c r="M40">
        <v>139</v>
      </c>
      <c r="N40">
        <v>87</v>
      </c>
    </row>
    <row r="41" spans="1:14" x14ac:dyDescent="0.3">
      <c r="A41" t="s">
        <v>757</v>
      </c>
      <c r="B41" s="177">
        <v>46094</v>
      </c>
      <c r="C41" s="117">
        <v>0.63055555555555554</v>
      </c>
      <c r="D41" t="s">
        <v>718</v>
      </c>
      <c r="E41">
        <v>40</v>
      </c>
      <c r="F41">
        <v>1</v>
      </c>
      <c r="G41">
        <v>2486</v>
      </c>
      <c r="H41">
        <v>987</v>
      </c>
      <c r="I41">
        <v>6479</v>
      </c>
      <c r="J41">
        <v>6352</v>
      </c>
      <c r="K41">
        <v>11100</v>
      </c>
      <c r="L41">
        <v>7333</v>
      </c>
      <c r="M41">
        <v>166</v>
      </c>
      <c r="N41">
        <v>115</v>
      </c>
    </row>
    <row r="42" spans="1:14" x14ac:dyDescent="0.3">
      <c r="A42" t="s">
        <v>758</v>
      </c>
      <c r="B42" s="177">
        <v>46094</v>
      </c>
      <c r="C42" s="117">
        <v>0.63611111111111107</v>
      </c>
      <c r="D42" t="s">
        <v>718</v>
      </c>
      <c r="E42">
        <v>41</v>
      </c>
      <c r="F42">
        <v>1</v>
      </c>
      <c r="G42">
        <v>1410</v>
      </c>
      <c r="H42">
        <v>10980</v>
      </c>
      <c r="I42">
        <v>8012</v>
      </c>
      <c r="J42">
        <v>5933</v>
      </c>
      <c r="K42">
        <v>6833</v>
      </c>
      <c r="L42">
        <v>9534</v>
      </c>
      <c r="M42">
        <v>181</v>
      </c>
      <c r="N42">
        <v>26</v>
      </c>
    </row>
    <row r="43" spans="1:14" x14ac:dyDescent="0.3">
      <c r="A43" t="s">
        <v>759</v>
      </c>
      <c r="B43" s="177">
        <v>46094</v>
      </c>
      <c r="C43" s="117">
        <v>0.64166666666666672</v>
      </c>
      <c r="D43" t="s">
        <v>718</v>
      </c>
      <c r="E43">
        <v>42</v>
      </c>
      <c r="F43">
        <v>1</v>
      </c>
      <c r="G43">
        <v>3216</v>
      </c>
      <c r="H43">
        <v>1165</v>
      </c>
      <c r="I43">
        <v>10905</v>
      </c>
      <c r="J43">
        <v>4731</v>
      </c>
      <c r="K43">
        <v>3245</v>
      </c>
      <c r="L43">
        <v>1828</v>
      </c>
      <c r="M43">
        <v>67</v>
      </c>
      <c r="N43">
        <v>141</v>
      </c>
    </row>
    <row r="44" spans="1:14" x14ac:dyDescent="0.3">
      <c r="A44" t="s">
        <v>760</v>
      </c>
      <c r="B44" s="177">
        <v>46094</v>
      </c>
      <c r="C44" s="117">
        <v>0.64722222222222225</v>
      </c>
      <c r="D44" t="s">
        <v>718</v>
      </c>
      <c r="E44">
        <v>43</v>
      </c>
      <c r="F44">
        <v>1</v>
      </c>
      <c r="G44">
        <v>7425</v>
      </c>
      <c r="H44">
        <v>991</v>
      </c>
      <c r="I44">
        <v>9091</v>
      </c>
      <c r="J44">
        <v>8717</v>
      </c>
      <c r="K44">
        <v>10183</v>
      </c>
      <c r="L44">
        <v>3009</v>
      </c>
      <c r="M44">
        <v>157</v>
      </c>
      <c r="N44">
        <v>63</v>
      </c>
    </row>
    <row r="45" spans="1:14" x14ac:dyDescent="0.3">
      <c r="A45" t="s">
        <v>761</v>
      </c>
      <c r="B45" s="177">
        <v>46094</v>
      </c>
      <c r="C45" s="117">
        <v>0.65277777777777779</v>
      </c>
      <c r="D45" t="s">
        <v>718</v>
      </c>
      <c r="E45">
        <v>44</v>
      </c>
      <c r="F45">
        <v>1</v>
      </c>
      <c r="G45">
        <v>10933</v>
      </c>
      <c r="H45">
        <v>9777</v>
      </c>
      <c r="I45">
        <v>10380</v>
      </c>
      <c r="J45">
        <v>996</v>
      </c>
      <c r="K45">
        <v>3944</v>
      </c>
      <c r="L45">
        <v>3424</v>
      </c>
      <c r="M45">
        <v>26</v>
      </c>
      <c r="N45">
        <v>29</v>
      </c>
    </row>
    <row r="46" spans="1:14" x14ac:dyDescent="0.3">
      <c r="A46" t="s">
        <v>762</v>
      </c>
      <c r="B46" s="177">
        <v>46094</v>
      </c>
      <c r="C46" s="117">
        <v>0.65833333333333333</v>
      </c>
      <c r="D46" t="s">
        <v>718</v>
      </c>
      <c r="E46">
        <v>45</v>
      </c>
      <c r="F46">
        <v>1</v>
      </c>
      <c r="G46">
        <v>10114</v>
      </c>
      <c r="H46">
        <v>9704</v>
      </c>
      <c r="I46">
        <v>7426</v>
      </c>
      <c r="J46">
        <v>60</v>
      </c>
      <c r="K46">
        <v>698</v>
      </c>
      <c r="L46">
        <v>10988</v>
      </c>
      <c r="M46">
        <v>218</v>
      </c>
      <c r="N46">
        <v>35</v>
      </c>
    </row>
    <row r="47" spans="1:14" x14ac:dyDescent="0.3">
      <c r="A47" t="s">
        <v>763</v>
      </c>
      <c r="B47" s="177">
        <v>46094</v>
      </c>
      <c r="C47" s="117">
        <v>0.66388888888888886</v>
      </c>
      <c r="D47" t="s">
        <v>718</v>
      </c>
      <c r="E47">
        <v>46</v>
      </c>
      <c r="F47">
        <v>1</v>
      </c>
      <c r="G47">
        <v>2662</v>
      </c>
      <c r="H47">
        <v>2080</v>
      </c>
      <c r="I47">
        <v>2122</v>
      </c>
      <c r="J47">
        <v>4146</v>
      </c>
      <c r="K47">
        <v>2840</v>
      </c>
      <c r="L47">
        <v>6413</v>
      </c>
      <c r="M47">
        <v>231</v>
      </c>
      <c r="N47">
        <v>114</v>
      </c>
    </row>
    <row r="48" spans="1:14" x14ac:dyDescent="0.3">
      <c r="A48" t="s">
        <v>764</v>
      </c>
      <c r="B48" s="177">
        <v>46094</v>
      </c>
      <c r="C48" s="117">
        <v>0.6694444444444444</v>
      </c>
      <c r="D48" t="s">
        <v>718</v>
      </c>
      <c r="E48">
        <v>47</v>
      </c>
      <c r="F48">
        <v>1</v>
      </c>
      <c r="G48">
        <v>11479</v>
      </c>
      <c r="H48">
        <v>288</v>
      </c>
      <c r="I48">
        <v>7755</v>
      </c>
      <c r="J48">
        <v>8012</v>
      </c>
      <c r="K48">
        <v>5933</v>
      </c>
      <c r="L48">
        <v>6352</v>
      </c>
      <c r="M48">
        <v>97</v>
      </c>
      <c r="N48">
        <v>90</v>
      </c>
    </row>
    <row r="49" spans="1:14" x14ac:dyDescent="0.3">
      <c r="A49" t="s">
        <v>765</v>
      </c>
      <c r="B49" s="177">
        <v>46094</v>
      </c>
      <c r="C49" s="117">
        <v>0.67500000000000004</v>
      </c>
      <c r="D49" t="s">
        <v>718</v>
      </c>
      <c r="E49">
        <v>48</v>
      </c>
      <c r="F49">
        <v>1</v>
      </c>
      <c r="G49">
        <v>987</v>
      </c>
      <c r="H49">
        <v>6833</v>
      </c>
      <c r="I49">
        <v>244</v>
      </c>
      <c r="J49">
        <v>9501</v>
      </c>
      <c r="K49">
        <v>3216</v>
      </c>
      <c r="L49">
        <v>4731</v>
      </c>
      <c r="M49">
        <v>149</v>
      </c>
      <c r="N49">
        <v>219</v>
      </c>
    </row>
    <row r="50" spans="1:14" x14ac:dyDescent="0.3">
      <c r="A50" t="s">
        <v>766</v>
      </c>
      <c r="B50" s="177">
        <v>46094</v>
      </c>
      <c r="C50" s="117">
        <v>0.68055555555555558</v>
      </c>
      <c r="D50" t="s">
        <v>718</v>
      </c>
      <c r="E50">
        <v>49</v>
      </c>
      <c r="F50">
        <v>1</v>
      </c>
      <c r="G50">
        <v>3009</v>
      </c>
      <c r="H50">
        <v>7333</v>
      </c>
      <c r="I50">
        <v>9534</v>
      </c>
      <c r="J50">
        <v>9059</v>
      </c>
      <c r="K50">
        <v>8717</v>
      </c>
      <c r="L50">
        <v>2403</v>
      </c>
      <c r="M50">
        <v>68</v>
      </c>
      <c r="N50">
        <v>105</v>
      </c>
    </row>
    <row r="51" spans="1:14" x14ac:dyDescent="0.3">
      <c r="A51" t="s">
        <v>767</v>
      </c>
      <c r="B51" s="177">
        <v>46094</v>
      </c>
      <c r="C51" s="117">
        <v>0.68611111111111112</v>
      </c>
      <c r="D51" t="s">
        <v>718</v>
      </c>
      <c r="E51">
        <v>50</v>
      </c>
      <c r="F51">
        <v>1</v>
      </c>
      <c r="G51">
        <v>7425</v>
      </c>
      <c r="H51">
        <v>10905</v>
      </c>
      <c r="I51">
        <v>3944</v>
      </c>
      <c r="J51">
        <v>1828</v>
      </c>
      <c r="K51">
        <v>6479</v>
      </c>
      <c r="L51">
        <v>10506</v>
      </c>
      <c r="M51">
        <v>61</v>
      </c>
      <c r="N51">
        <v>100</v>
      </c>
    </row>
    <row r="52" spans="1:14" x14ac:dyDescent="0.3">
      <c r="A52" t="s">
        <v>768</v>
      </c>
      <c r="B52" s="177">
        <v>46094</v>
      </c>
      <c r="C52" s="117">
        <v>0.69166666666666665</v>
      </c>
      <c r="D52" t="s">
        <v>718</v>
      </c>
      <c r="E52">
        <v>51</v>
      </c>
      <c r="F52">
        <v>1</v>
      </c>
      <c r="G52">
        <v>3245</v>
      </c>
      <c r="H52">
        <v>10988</v>
      </c>
      <c r="I52">
        <v>10183</v>
      </c>
      <c r="J52">
        <v>2478</v>
      </c>
      <c r="K52">
        <v>996</v>
      </c>
      <c r="L52">
        <v>698</v>
      </c>
      <c r="M52">
        <v>155</v>
      </c>
      <c r="N52">
        <v>81</v>
      </c>
    </row>
    <row r="53" spans="1:14" x14ac:dyDescent="0.3">
      <c r="A53" t="s">
        <v>769</v>
      </c>
      <c r="B53" s="177">
        <v>46094</v>
      </c>
      <c r="C53" s="117">
        <v>0.69722222222222219</v>
      </c>
      <c r="D53" t="s">
        <v>718</v>
      </c>
      <c r="E53">
        <v>52</v>
      </c>
      <c r="F53">
        <v>1</v>
      </c>
      <c r="G53">
        <v>11176</v>
      </c>
      <c r="H53">
        <v>3243</v>
      </c>
      <c r="I53">
        <v>9777</v>
      </c>
      <c r="J53">
        <v>2486</v>
      </c>
      <c r="K53">
        <v>2662</v>
      </c>
      <c r="L53">
        <v>10114</v>
      </c>
      <c r="M53">
        <v>21</v>
      </c>
      <c r="N53">
        <v>107</v>
      </c>
    </row>
    <row r="54" spans="1:14" x14ac:dyDescent="0.3">
      <c r="A54" t="s">
        <v>770</v>
      </c>
      <c r="B54" s="177">
        <v>46094</v>
      </c>
      <c r="C54" s="117">
        <v>0.70277777777777772</v>
      </c>
      <c r="D54" t="s">
        <v>718</v>
      </c>
      <c r="E54">
        <v>53</v>
      </c>
      <c r="F54">
        <v>1</v>
      </c>
      <c r="G54">
        <v>11100</v>
      </c>
      <c r="H54">
        <v>9704</v>
      </c>
      <c r="I54">
        <v>2840</v>
      </c>
      <c r="J54">
        <v>3019</v>
      </c>
      <c r="K54">
        <v>1212</v>
      </c>
      <c r="L54">
        <v>4146</v>
      </c>
      <c r="M54">
        <v>23</v>
      </c>
      <c r="N54">
        <v>97</v>
      </c>
    </row>
    <row r="55" spans="1:14" x14ac:dyDescent="0.3">
      <c r="A55" t="s">
        <v>771</v>
      </c>
      <c r="B55" s="177">
        <v>46094</v>
      </c>
      <c r="C55" s="117">
        <v>0.70833333333333337</v>
      </c>
      <c r="D55" t="s">
        <v>718</v>
      </c>
      <c r="E55">
        <v>54</v>
      </c>
      <c r="F55">
        <v>1</v>
      </c>
      <c r="G55">
        <v>9091</v>
      </c>
      <c r="H55">
        <v>1410</v>
      </c>
      <c r="I55">
        <v>2080</v>
      </c>
      <c r="J55">
        <v>3424</v>
      </c>
      <c r="K55">
        <v>10380</v>
      </c>
      <c r="L55">
        <v>60</v>
      </c>
      <c r="M55">
        <v>79</v>
      </c>
      <c r="N55">
        <v>51</v>
      </c>
    </row>
    <row r="56" spans="1:14" x14ac:dyDescent="0.3">
      <c r="A56" t="s">
        <v>772</v>
      </c>
      <c r="B56" s="177">
        <v>46094</v>
      </c>
      <c r="C56" s="117">
        <v>0.71388888888888891</v>
      </c>
      <c r="D56" t="s">
        <v>718</v>
      </c>
      <c r="E56">
        <v>55</v>
      </c>
      <c r="F56">
        <v>1</v>
      </c>
      <c r="G56">
        <v>2122</v>
      </c>
      <c r="H56">
        <v>10933</v>
      </c>
      <c r="I56">
        <v>10980</v>
      </c>
      <c r="J56">
        <v>7426</v>
      </c>
      <c r="K56">
        <v>1165</v>
      </c>
      <c r="L56">
        <v>991</v>
      </c>
      <c r="M56">
        <v>241</v>
      </c>
      <c r="N56">
        <v>237</v>
      </c>
    </row>
    <row r="57" spans="1:14" x14ac:dyDescent="0.3">
      <c r="A57" t="s">
        <v>773</v>
      </c>
      <c r="B57" s="177">
        <v>46094</v>
      </c>
      <c r="C57" s="117">
        <v>0.71944444444444444</v>
      </c>
      <c r="D57" t="s">
        <v>718</v>
      </c>
      <c r="E57">
        <v>56</v>
      </c>
      <c r="F57">
        <v>1</v>
      </c>
      <c r="G57">
        <v>6413</v>
      </c>
      <c r="H57">
        <v>11479</v>
      </c>
      <c r="I57">
        <v>6833</v>
      </c>
      <c r="J57">
        <v>3009</v>
      </c>
      <c r="K57">
        <v>288</v>
      </c>
      <c r="L57">
        <v>244</v>
      </c>
      <c r="M57">
        <v>109</v>
      </c>
      <c r="N57">
        <v>38</v>
      </c>
    </row>
    <row r="58" spans="1:14" x14ac:dyDescent="0.3">
      <c r="A58" t="s">
        <v>774</v>
      </c>
      <c r="B58" s="177">
        <v>46094</v>
      </c>
      <c r="C58" s="117">
        <v>0.72499999999999998</v>
      </c>
      <c r="D58" t="s">
        <v>718</v>
      </c>
      <c r="E58">
        <v>57</v>
      </c>
      <c r="F58">
        <v>1</v>
      </c>
      <c r="G58">
        <v>698</v>
      </c>
      <c r="H58">
        <v>10506</v>
      </c>
      <c r="I58">
        <v>3245</v>
      </c>
      <c r="J58">
        <v>2403</v>
      </c>
      <c r="K58">
        <v>4731</v>
      </c>
      <c r="L58">
        <v>5933</v>
      </c>
      <c r="M58">
        <v>71</v>
      </c>
      <c r="N58">
        <v>108</v>
      </c>
    </row>
    <row r="59" spans="1:14" x14ac:dyDescent="0.3">
      <c r="A59" t="s">
        <v>775</v>
      </c>
      <c r="B59" s="177">
        <v>46094</v>
      </c>
      <c r="C59" s="117">
        <v>0.73055555555555551</v>
      </c>
      <c r="D59" t="s">
        <v>718</v>
      </c>
      <c r="E59">
        <v>58</v>
      </c>
      <c r="F59">
        <v>1</v>
      </c>
      <c r="G59">
        <v>1828</v>
      </c>
      <c r="H59">
        <v>10114</v>
      </c>
      <c r="I59">
        <v>10183</v>
      </c>
      <c r="J59">
        <v>9534</v>
      </c>
      <c r="K59">
        <v>6352</v>
      </c>
      <c r="L59">
        <v>2662</v>
      </c>
      <c r="M59">
        <v>142</v>
      </c>
      <c r="N59">
        <v>69</v>
      </c>
    </row>
    <row r="60" spans="1:14" x14ac:dyDescent="0.3">
      <c r="A60" t="s">
        <v>776</v>
      </c>
      <c r="B60" s="177">
        <v>46094</v>
      </c>
      <c r="C60" s="117">
        <v>0.73611111111111116</v>
      </c>
      <c r="D60" t="s">
        <v>718</v>
      </c>
      <c r="E60">
        <v>59</v>
      </c>
      <c r="F60">
        <v>1</v>
      </c>
      <c r="G60">
        <v>9501</v>
      </c>
      <c r="H60">
        <v>9059</v>
      </c>
      <c r="I60">
        <v>10905</v>
      </c>
      <c r="J60">
        <v>9777</v>
      </c>
      <c r="K60">
        <v>8012</v>
      </c>
      <c r="L60">
        <v>4146</v>
      </c>
      <c r="M60">
        <v>49</v>
      </c>
      <c r="N60">
        <v>19</v>
      </c>
    </row>
    <row r="61" spans="1:14" x14ac:dyDescent="0.3">
      <c r="A61" t="s">
        <v>777</v>
      </c>
      <c r="B61" s="177">
        <v>46095</v>
      </c>
      <c r="C61" s="117">
        <v>0.36805555555555558</v>
      </c>
      <c r="D61" t="s">
        <v>718</v>
      </c>
      <c r="E61">
        <v>60</v>
      </c>
      <c r="F61">
        <v>1</v>
      </c>
      <c r="G61">
        <v>6479</v>
      </c>
      <c r="H61">
        <v>996</v>
      </c>
      <c r="I61">
        <v>10988</v>
      </c>
      <c r="J61">
        <v>3424</v>
      </c>
      <c r="K61">
        <v>1212</v>
      </c>
      <c r="L61">
        <v>2080</v>
      </c>
      <c r="M61">
        <v>149</v>
      </c>
      <c r="N61">
        <v>80</v>
      </c>
    </row>
    <row r="62" spans="1:14" x14ac:dyDescent="0.3">
      <c r="A62" t="s">
        <v>778</v>
      </c>
      <c r="B62" s="177">
        <v>46095</v>
      </c>
      <c r="C62" s="117">
        <v>0.37361111111111112</v>
      </c>
      <c r="D62" t="s">
        <v>718</v>
      </c>
      <c r="E62">
        <v>61</v>
      </c>
      <c r="F62">
        <v>1</v>
      </c>
      <c r="G62">
        <v>11100</v>
      </c>
      <c r="H62">
        <v>7755</v>
      </c>
      <c r="I62">
        <v>7425</v>
      </c>
      <c r="J62">
        <v>7333</v>
      </c>
      <c r="K62">
        <v>10380</v>
      </c>
      <c r="L62">
        <v>2122</v>
      </c>
      <c r="M62">
        <v>193</v>
      </c>
      <c r="N62">
        <v>136</v>
      </c>
    </row>
    <row r="63" spans="1:14" x14ac:dyDescent="0.3">
      <c r="A63" t="s">
        <v>779</v>
      </c>
      <c r="B63" s="177">
        <v>46095</v>
      </c>
      <c r="C63" s="117">
        <v>0.37916666666666665</v>
      </c>
      <c r="D63" t="s">
        <v>718</v>
      </c>
      <c r="E63">
        <v>62</v>
      </c>
      <c r="F63">
        <v>1</v>
      </c>
      <c r="G63">
        <v>2478</v>
      </c>
      <c r="H63">
        <v>7426</v>
      </c>
      <c r="I63">
        <v>11176</v>
      </c>
      <c r="J63">
        <v>1165</v>
      </c>
      <c r="K63">
        <v>9091</v>
      </c>
      <c r="L63">
        <v>3243</v>
      </c>
      <c r="M63">
        <v>189</v>
      </c>
      <c r="N63">
        <v>28</v>
      </c>
    </row>
    <row r="64" spans="1:14" x14ac:dyDescent="0.3">
      <c r="A64" t="s">
        <v>780</v>
      </c>
      <c r="B64" s="177">
        <v>46095</v>
      </c>
      <c r="C64" s="117">
        <v>0.38472222222222224</v>
      </c>
      <c r="D64" t="s">
        <v>718</v>
      </c>
      <c r="E64">
        <v>63</v>
      </c>
      <c r="F64">
        <v>1</v>
      </c>
      <c r="G64">
        <v>1410</v>
      </c>
      <c r="H64">
        <v>2486</v>
      </c>
      <c r="I64">
        <v>991</v>
      </c>
      <c r="J64">
        <v>3019</v>
      </c>
      <c r="K64">
        <v>3216</v>
      </c>
      <c r="L64">
        <v>9704</v>
      </c>
      <c r="M64">
        <v>134</v>
      </c>
      <c r="N64">
        <v>119</v>
      </c>
    </row>
    <row r="65" spans="1:14" x14ac:dyDescent="0.3">
      <c r="A65" t="s">
        <v>781</v>
      </c>
      <c r="B65" s="177">
        <v>46095</v>
      </c>
      <c r="C65" s="117">
        <v>0.39027777777777778</v>
      </c>
      <c r="D65" t="s">
        <v>718</v>
      </c>
      <c r="E65">
        <v>64</v>
      </c>
      <c r="F65">
        <v>1</v>
      </c>
      <c r="G65">
        <v>3944</v>
      </c>
      <c r="H65">
        <v>60</v>
      </c>
      <c r="I65">
        <v>8717</v>
      </c>
      <c r="J65">
        <v>2840</v>
      </c>
      <c r="K65">
        <v>10980</v>
      </c>
      <c r="L65">
        <v>987</v>
      </c>
      <c r="M65">
        <v>51</v>
      </c>
      <c r="N65">
        <v>116</v>
      </c>
    </row>
    <row r="66" spans="1:14" x14ac:dyDescent="0.3">
      <c r="A66" t="s">
        <v>782</v>
      </c>
      <c r="B66" s="177">
        <v>46095</v>
      </c>
      <c r="C66" s="117">
        <v>0.39583333333333331</v>
      </c>
      <c r="D66" t="s">
        <v>718</v>
      </c>
      <c r="E66">
        <v>65</v>
      </c>
      <c r="F66">
        <v>1</v>
      </c>
      <c r="G66">
        <v>3245</v>
      </c>
      <c r="H66">
        <v>10933</v>
      </c>
      <c r="I66">
        <v>6413</v>
      </c>
      <c r="J66">
        <v>6833</v>
      </c>
      <c r="K66">
        <v>10506</v>
      </c>
      <c r="L66">
        <v>9777</v>
      </c>
      <c r="M66">
        <v>165</v>
      </c>
      <c r="N66">
        <v>58</v>
      </c>
    </row>
    <row r="67" spans="1:14" x14ac:dyDescent="0.3">
      <c r="A67" t="s">
        <v>783</v>
      </c>
      <c r="B67" s="177">
        <v>46095</v>
      </c>
      <c r="C67" s="117">
        <v>0.40138888888888891</v>
      </c>
      <c r="D67" t="s">
        <v>718</v>
      </c>
      <c r="E67">
        <v>66</v>
      </c>
      <c r="F67">
        <v>1</v>
      </c>
      <c r="G67">
        <v>10988</v>
      </c>
      <c r="H67">
        <v>4146</v>
      </c>
      <c r="I67">
        <v>4731</v>
      </c>
      <c r="J67">
        <v>11479</v>
      </c>
      <c r="K67">
        <v>9534</v>
      </c>
      <c r="L67">
        <v>6479</v>
      </c>
      <c r="M67">
        <v>47</v>
      </c>
      <c r="N67">
        <v>131</v>
      </c>
    </row>
    <row r="68" spans="1:14" x14ac:dyDescent="0.3">
      <c r="A68" t="s">
        <v>784</v>
      </c>
      <c r="B68" s="177">
        <v>46095</v>
      </c>
      <c r="C68" s="117">
        <v>0.40694444444444444</v>
      </c>
      <c r="D68" t="s">
        <v>718</v>
      </c>
      <c r="E68">
        <v>67</v>
      </c>
      <c r="F68">
        <v>1</v>
      </c>
      <c r="G68">
        <v>1828</v>
      </c>
      <c r="H68">
        <v>3424</v>
      </c>
      <c r="I68">
        <v>11100</v>
      </c>
      <c r="J68">
        <v>288</v>
      </c>
      <c r="K68">
        <v>2403</v>
      </c>
      <c r="L68">
        <v>9501</v>
      </c>
      <c r="M68">
        <v>91</v>
      </c>
      <c r="N68">
        <v>113</v>
      </c>
    </row>
    <row r="69" spans="1:14" x14ac:dyDescent="0.3">
      <c r="A69" t="s">
        <v>785</v>
      </c>
      <c r="B69" s="177">
        <v>46095</v>
      </c>
      <c r="C69" s="117">
        <v>0.41249999999999998</v>
      </c>
      <c r="D69" t="s">
        <v>718</v>
      </c>
      <c r="E69">
        <v>68</v>
      </c>
      <c r="F69">
        <v>1</v>
      </c>
      <c r="G69">
        <v>2122</v>
      </c>
      <c r="H69">
        <v>6352</v>
      </c>
      <c r="I69">
        <v>698</v>
      </c>
      <c r="J69">
        <v>9091</v>
      </c>
      <c r="K69">
        <v>11176</v>
      </c>
      <c r="L69">
        <v>9059</v>
      </c>
      <c r="M69">
        <v>333</v>
      </c>
      <c r="N69">
        <v>24</v>
      </c>
    </row>
    <row r="70" spans="1:14" x14ac:dyDescent="0.3">
      <c r="A70" t="s">
        <v>786</v>
      </c>
      <c r="B70" s="177">
        <v>46095</v>
      </c>
      <c r="C70" s="117">
        <v>0.41805555555555557</v>
      </c>
      <c r="D70" t="s">
        <v>718</v>
      </c>
      <c r="E70">
        <v>69</v>
      </c>
      <c r="F70">
        <v>1</v>
      </c>
      <c r="G70">
        <v>8012</v>
      </c>
      <c r="H70">
        <v>244</v>
      </c>
      <c r="I70">
        <v>1165</v>
      </c>
      <c r="J70">
        <v>991</v>
      </c>
      <c r="K70">
        <v>1212</v>
      </c>
      <c r="L70">
        <v>9704</v>
      </c>
      <c r="M70">
        <v>36</v>
      </c>
      <c r="N70">
        <v>68</v>
      </c>
    </row>
    <row r="71" spans="1:14" x14ac:dyDescent="0.3">
      <c r="A71" t="s">
        <v>787</v>
      </c>
      <c r="B71" s="177">
        <v>46095</v>
      </c>
      <c r="C71" s="117">
        <v>0.4236111111111111</v>
      </c>
      <c r="D71" t="s">
        <v>718</v>
      </c>
      <c r="E71">
        <v>70</v>
      </c>
      <c r="F71">
        <v>1</v>
      </c>
      <c r="G71">
        <v>10905</v>
      </c>
      <c r="H71">
        <v>3019</v>
      </c>
      <c r="I71">
        <v>5933</v>
      </c>
      <c r="J71">
        <v>60</v>
      </c>
      <c r="K71">
        <v>7333</v>
      </c>
      <c r="L71">
        <v>3243</v>
      </c>
      <c r="M71">
        <v>92</v>
      </c>
      <c r="N71">
        <v>165</v>
      </c>
    </row>
    <row r="72" spans="1:14" x14ac:dyDescent="0.3">
      <c r="A72" t="s">
        <v>788</v>
      </c>
      <c r="B72" s="177">
        <v>46095</v>
      </c>
      <c r="C72" s="117">
        <v>0.42916666666666664</v>
      </c>
      <c r="D72" t="s">
        <v>718</v>
      </c>
      <c r="E72">
        <v>71</v>
      </c>
      <c r="F72">
        <v>1</v>
      </c>
      <c r="G72">
        <v>8717</v>
      </c>
      <c r="H72">
        <v>2840</v>
      </c>
      <c r="I72">
        <v>2662</v>
      </c>
      <c r="J72">
        <v>996</v>
      </c>
      <c r="K72">
        <v>7755</v>
      </c>
      <c r="L72">
        <v>7426</v>
      </c>
      <c r="M72">
        <v>97</v>
      </c>
      <c r="N72">
        <v>266</v>
      </c>
    </row>
    <row r="73" spans="1:14" x14ac:dyDescent="0.3">
      <c r="A73" t="s">
        <v>789</v>
      </c>
      <c r="B73" s="177">
        <v>46095</v>
      </c>
      <c r="C73" s="117">
        <v>0.43472222222222223</v>
      </c>
      <c r="D73" t="s">
        <v>718</v>
      </c>
      <c r="E73">
        <v>72</v>
      </c>
      <c r="F73">
        <v>1</v>
      </c>
      <c r="G73">
        <v>987</v>
      </c>
      <c r="H73">
        <v>1410</v>
      </c>
      <c r="I73">
        <v>10933</v>
      </c>
      <c r="J73">
        <v>10183</v>
      </c>
      <c r="K73">
        <v>2486</v>
      </c>
      <c r="L73">
        <v>7425</v>
      </c>
      <c r="M73">
        <v>130</v>
      </c>
      <c r="N73">
        <v>191</v>
      </c>
    </row>
    <row r="74" spans="1:14" x14ac:dyDescent="0.3">
      <c r="A74" t="s">
        <v>790</v>
      </c>
      <c r="B74" s="177">
        <v>46095</v>
      </c>
      <c r="C74" s="117">
        <v>0.44027777777777777</v>
      </c>
      <c r="D74" t="s">
        <v>718</v>
      </c>
      <c r="E74">
        <v>73</v>
      </c>
      <c r="F74">
        <v>1</v>
      </c>
      <c r="G74">
        <v>10114</v>
      </c>
      <c r="H74">
        <v>3216</v>
      </c>
      <c r="I74">
        <v>3944</v>
      </c>
      <c r="J74">
        <v>2080</v>
      </c>
      <c r="K74">
        <v>3009</v>
      </c>
      <c r="L74">
        <v>2478</v>
      </c>
      <c r="M74">
        <v>144</v>
      </c>
      <c r="N74">
        <v>23</v>
      </c>
    </row>
    <row r="75" spans="1:14" x14ac:dyDescent="0.3">
      <c r="A75" t="s">
        <v>791</v>
      </c>
      <c r="B75" s="177">
        <v>46095</v>
      </c>
      <c r="C75" s="117">
        <v>0.44583333333333336</v>
      </c>
      <c r="D75" t="s">
        <v>718</v>
      </c>
      <c r="E75">
        <v>74</v>
      </c>
      <c r="F75">
        <v>1</v>
      </c>
      <c r="G75">
        <v>10380</v>
      </c>
      <c r="H75">
        <v>2403</v>
      </c>
      <c r="I75">
        <v>10506</v>
      </c>
      <c r="J75">
        <v>10980</v>
      </c>
      <c r="K75">
        <v>9501</v>
      </c>
      <c r="L75">
        <v>6352</v>
      </c>
      <c r="M75">
        <v>52</v>
      </c>
      <c r="N75">
        <v>82</v>
      </c>
    </row>
    <row r="76" spans="1:14" x14ac:dyDescent="0.3">
      <c r="A76" t="s">
        <v>792</v>
      </c>
      <c r="B76" s="177">
        <v>46095</v>
      </c>
      <c r="C76" s="117">
        <v>0.4513888888888889</v>
      </c>
      <c r="D76" t="s">
        <v>718</v>
      </c>
      <c r="E76">
        <v>75</v>
      </c>
      <c r="F76">
        <v>1</v>
      </c>
      <c r="G76">
        <v>288</v>
      </c>
      <c r="H76">
        <v>8012</v>
      </c>
      <c r="I76">
        <v>9534</v>
      </c>
      <c r="J76">
        <v>6479</v>
      </c>
      <c r="K76">
        <v>2122</v>
      </c>
      <c r="L76">
        <v>3245</v>
      </c>
      <c r="M76">
        <v>42</v>
      </c>
      <c r="N76">
        <v>281</v>
      </c>
    </row>
    <row r="77" spans="1:14" x14ac:dyDescent="0.3">
      <c r="A77" t="s">
        <v>793</v>
      </c>
      <c r="B77" s="177">
        <v>46095</v>
      </c>
      <c r="C77" s="117">
        <v>0.45694444444444443</v>
      </c>
      <c r="D77" t="s">
        <v>718</v>
      </c>
      <c r="E77">
        <v>76</v>
      </c>
      <c r="F77">
        <v>1</v>
      </c>
      <c r="G77">
        <v>7333</v>
      </c>
      <c r="H77">
        <v>10988</v>
      </c>
      <c r="I77">
        <v>1828</v>
      </c>
      <c r="J77">
        <v>60</v>
      </c>
      <c r="K77">
        <v>6413</v>
      </c>
      <c r="L77">
        <v>991</v>
      </c>
      <c r="M77">
        <v>98</v>
      </c>
      <c r="N77">
        <v>176</v>
      </c>
    </row>
    <row r="78" spans="1:14" x14ac:dyDescent="0.3">
      <c r="A78" t="s">
        <v>794</v>
      </c>
      <c r="B78" s="177">
        <v>46095</v>
      </c>
      <c r="C78" s="117">
        <v>0.46250000000000002</v>
      </c>
      <c r="D78" t="s">
        <v>718</v>
      </c>
      <c r="E78">
        <v>77</v>
      </c>
      <c r="F78">
        <v>1</v>
      </c>
      <c r="G78">
        <v>9704</v>
      </c>
      <c r="H78">
        <v>9091</v>
      </c>
      <c r="I78">
        <v>7755</v>
      </c>
      <c r="J78">
        <v>9777</v>
      </c>
      <c r="K78">
        <v>4731</v>
      </c>
      <c r="L78">
        <v>3019</v>
      </c>
      <c r="M78">
        <v>45</v>
      </c>
      <c r="N78">
        <v>110</v>
      </c>
    </row>
    <row r="79" spans="1:14" x14ac:dyDescent="0.3">
      <c r="A79" t="s">
        <v>795</v>
      </c>
      <c r="B79" s="177">
        <v>46095</v>
      </c>
      <c r="C79" s="117">
        <v>0.46805555555555556</v>
      </c>
      <c r="D79" t="s">
        <v>718</v>
      </c>
      <c r="E79">
        <v>78</v>
      </c>
      <c r="F79">
        <v>1</v>
      </c>
      <c r="G79">
        <v>244</v>
      </c>
      <c r="H79">
        <v>2662</v>
      </c>
      <c r="I79">
        <v>698</v>
      </c>
      <c r="J79">
        <v>3424</v>
      </c>
      <c r="K79">
        <v>7425</v>
      </c>
      <c r="L79">
        <v>10933</v>
      </c>
      <c r="M79">
        <v>41</v>
      </c>
      <c r="N79">
        <v>131</v>
      </c>
    </row>
    <row r="80" spans="1:14" x14ac:dyDescent="0.3">
      <c r="A80" t="s">
        <v>796</v>
      </c>
      <c r="B80" s="177">
        <v>46095</v>
      </c>
      <c r="C80" s="117">
        <v>0.47361111111111109</v>
      </c>
      <c r="D80" t="s">
        <v>718</v>
      </c>
      <c r="E80">
        <v>79</v>
      </c>
      <c r="F80">
        <v>1</v>
      </c>
      <c r="G80">
        <v>7426</v>
      </c>
      <c r="H80">
        <v>8717</v>
      </c>
      <c r="I80">
        <v>11100</v>
      </c>
      <c r="J80">
        <v>10905</v>
      </c>
      <c r="K80">
        <v>1410</v>
      </c>
      <c r="L80">
        <v>11479</v>
      </c>
      <c r="M80">
        <v>251</v>
      </c>
      <c r="N80">
        <v>108</v>
      </c>
    </row>
    <row r="81" spans="1:14" x14ac:dyDescent="0.3">
      <c r="A81" t="s">
        <v>797</v>
      </c>
      <c r="B81" s="177">
        <v>46095</v>
      </c>
      <c r="C81" s="117">
        <v>0.47916666666666669</v>
      </c>
      <c r="D81" t="s">
        <v>718</v>
      </c>
      <c r="E81">
        <v>80</v>
      </c>
      <c r="F81">
        <v>1</v>
      </c>
      <c r="G81">
        <v>3009</v>
      </c>
      <c r="H81">
        <v>11176</v>
      </c>
      <c r="I81">
        <v>1165</v>
      </c>
      <c r="J81">
        <v>987</v>
      </c>
      <c r="K81">
        <v>5933</v>
      </c>
      <c r="L81">
        <v>996</v>
      </c>
      <c r="M81">
        <v>32</v>
      </c>
      <c r="N81">
        <v>34</v>
      </c>
    </row>
    <row r="82" spans="1:14" x14ac:dyDescent="0.3">
      <c r="A82" t="s">
        <v>798</v>
      </c>
      <c r="B82" s="177">
        <v>46095</v>
      </c>
      <c r="C82" s="117">
        <v>0.48472222222222222</v>
      </c>
      <c r="D82" t="s">
        <v>718</v>
      </c>
      <c r="E82">
        <v>81</v>
      </c>
      <c r="F82">
        <v>1</v>
      </c>
      <c r="G82">
        <v>1212</v>
      </c>
      <c r="H82">
        <v>2478</v>
      </c>
      <c r="I82">
        <v>2486</v>
      </c>
      <c r="J82">
        <v>10980</v>
      </c>
      <c r="K82">
        <v>4146</v>
      </c>
      <c r="L82">
        <v>2080</v>
      </c>
      <c r="M82">
        <v>139</v>
      </c>
      <c r="N82">
        <v>39</v>
      </c>
    </row>
    <row r="83" spans="1:14" x14ac:dyDescent="0.3">
      <c r="A83" t="s">
        <v>799</v>
      </c>
      <c r="B83" s="177">
        <v>46095</v>
      </c>
      <c r="C83" s="117">
        <v>0.49027777777777776</v>
      </c>
      <c r="D83" t="s">
        <v>718</v>
      </c>
      <c r="E83">
        <v>82</v>
      </c>
      <c r="F83">
        <v>1</v>
      </c>
      <c r="G83">
        <v>3243</v>
      </c>
      <c r="H83">
        <v>2840</v>
      </c>
      <c r="I83">
        <v>3944</v>
      </c>
      <c r="J83">
        <v>3216</v>
      </c>
      <c r="K83">
        <v>9059</v>
      </c>
      <c r="L83">
        <v>10183</v>
      </c>
      <c r="M83">
        <v>111</v>
      </c>
      <c r="N83">
        <v>90</v>
      </c>
    </row>
    <row r="84" spans="1:14" x14ac:dyDescent="0.3">
      <c r="A84" t="s">
        <v>800</v>
      </c>
      <c r="B84" s="177">
        <v>46095</v>
      </c>
      <c r="C84" s="117">
        <v>0.49583333333333335</v>
      </c>
      <c r="D84" t="s">
        <v>718</v>
      </c>
      <c r="E84">
        <v>83</v>
      </c>
      <c r="F84">
        <v>1</v>
      </c>
      <c r="G84">
        <v>10380</v>
      </c>
      <c r="H84">
        <v>10114</v>
      </c>
      <c r="I84">
        <v>3019</v>
      </c>
      <c r="J84">
        <v>6833</v>
      </c>
      <c r="K84">
        <v>2122</v>
      </c>
      <c r="L84">
        <v>288</v>
      </c>
      <c r="M84">
        <v>52</v>
      </c>
      <c r="N84">
        <v>261</v>
      </c>
    </row>
    <row r="85" spans="1:14" x14ac:dyDescent="0.3">
      <c r="A85" t="s">
        <v>801</v>
      </c>
      <c r="B85" s="177">
        <v>46095</v>
      </c>
      <c r="C85" s="117">
        <v>0.59375</v>
      </c>
      <c r="D85" t="s">
        <v>802</v>
      </c>
      <c r="E85">
        <v>1</v>
      </c>
      <c r="F85">
        <v>1</v>
      </c>
      <c r="G85">
        <v>2122</v>
      </c>
      <c r="H85">
        <v>2478</v>
      </c>
      <c r="I85">
        <v>7426</v>
      </c>
      <c r="J85">
        <v>3019</v>
      </c>
      <c r="K85">
        <v>1212</v>
      </c>
      <c r="L85">
        <v>991</v>
      </c>
      <c r="M85">
        <v>394</v>
      </c>
      <c r="N85">
        <v>75</v>
      </c>
    </row>
    <row r="86" spans="1:14" x14ac:dyDescent="0.3">
      <c r="A86" t="s">
        <v>803</v>
      </c>
      <c r="B86" s="177">
        <v>46095</v>
      </c>
      <c r="C86" s="117">
        <v>0.6</v>
      </c>
      <c r="D86" t="s">
        <v>802</v>
      </c>
      <c r="E86">
        <v>1</v>
      </c>
      <c r="F86">
        <v>2</v>
      </c>
      <c r="G86">
        <v>9501</v>
      </c>
      <c r="H86">
        <v>6479</v>
      </c>
      <c r="I86">
        <v>7333</v>
      </c>
      <c r="J86">
        <v>10114</v>
      </c>
      <c r="K86">
        <v>3243</v>
      </c>
      <c r="L86">
        <v>2403</v>
      </c>
      <c r="M86">
        <v>153</v>
      </c>
      <c r="N86">
        <v>189</v>
      </c>
    </row>
    <row r="87" spans="1:14" x14ac:dyDescent="0.3">
      <c r="A87" t="s">
        <v>804</v>
      </c>
      <c r="B87" s="177">
        <v>46095</v>
      </c>
      <c r="C87" s="117">
        <v>0.60624999999999996</v>
      </c>
      <c r="D87" t="s">
        <v>802</v>
      </c>
      <c r="E87">
        <v>1</v>
      </c>
      <c r="F87">
        <v>3</v>
      </c>
      <c r="G87">
        <v>987</v>
      </c>
      <c r="H87">
        <v>4731</v>
      </c>
      <c r="I87">
        <v>2486</v>
      </c>
      <c r="J87">
        <v>1165</v>
      </c>
      <c r="K87">
        <v>7425</v>
      </c>
      <c r="L87">
        <v>10183</v>
      </c>
      <c r="M87">
        <v>245</v>
      </c>
      <c r="N87">
        <v>167</v>
      </c>
    </row>
    <row r="88" spans="1:14" x14ac:dyDescent="0.3">
      <c r="A88" t="s">
        <v>805</v>
      </c>
      <c r="B88" s="177">
        <v>46095</v>
      </c>
      <c r="C88" s="117">
        <v>0.61250000000000004</v>
      </c>
      <c r="D88" t="s">
        <v>802</v>
      </c>
      <c r="E88">
        <v>1</v>
      </c>
      <c r="F88">
        <v>4</v>
      </c>
      <c r="G88">
        <v>1410</v>
      </c>
      <c r="H88">
        <v>3245</v>
      </c>
      <c r="I88">
        <v>6413</v>
      </c>
      <c r="J88">
        <v>3216</v>
      </c>
      <c r="K88">
        <v>10980</v>
      </c>
      <c r="L88">
        <v>10933</v>
      </c>
      <c r="M88">
        <v>222</v>
      </c>
      <c r="N88">
        <v>59</v>
      </c>
    </row>
    <row r="89" spans="1:14" x14ac:dyDescent="0.3">
      <c r="A89" t="s">
        <v>806</v>
      </c>
      <c r="B89" s="177">
        <v>46095</v>
      </c>
      <c r="C89" s="117">
        <v>0.61875000000000002</v>
      </c>
      <c r="D89" t="s">
        <v>802</v>
      </c>
      <c r="E89">
        <v>1</v>
      </c>
      <c r="F89">
        <v>5</v>
      </c>
      <c r="G89">
        <v>3019</v>
      </c>
      <c r="H89">
        <v>1212</v>
      </c>
      <c r="I89">
        <v>991</v>
      </c>
      <c r="J89">
        <v>7333</v>
      </c>
      <c r="K89">
        <v>6479</v>
      </c>
      <c r="L89">
        <v>60</v>
      </c>
      <c r="M89">
        <v>51</v>
      </c>
      <c r="N89">
        <v>90</v>
      </c>
    </row>
    <row r="90" spans="1:14" x14ac:dyDescent="0.3">
      <c r="A90" t="s">
        <v>807</v>
      </c>
      <c r="B90" s="177">
        <v>46095</v>
      </c>
      <c r="C90" s="117">
        <v>0.625</v>
      </c>
      <c r="D90" t="s">
        <v>802</v>
      </c>
      <c r="E90">
        <v>1</v>
      </c>
      <c r="F90">
        <v>6</v>
      </c>
      <c r="G90">
        <v>11479</v>
      </c>
      <c r="H90">
        <v>7425</v>
      </c>
      <c r="I90">
        <v>10183</v>
      </c>
      <c r="J90">
        <v>3216</v>
      </c>
      <c r="K90">
        <v>10980</v>
      </c>
      <c r="L90">
        <v>10933</v>
      </c>
      <c r="M90">
        <v>150</v>
      </c>
      <c r="N90">
        <v>161</v>
      </c>
    </row>
    <row r="91" spans="1:14" x14ac:dyDescent="0.3">
      <c r="A91" t="s">
        <v>808</v>
      </c>
      <c r="B91" s="177">
        <v>46095</v>
      </c>
      <c r="C91" s="117">
        <v>0.63124999999999998</v>
      </c>
      <c r="D91" t="s">
        <v>802</v>
      </c>
      <c r="E91">
        <v>1</v>
      </c>
      <c r="F91">
        <v>7</v>
      </c>
      <c r="G91">
        <v>2122</v>
      </c>
      <c r="H91">
        <v>2478</v>
      </c>
      <c r="I91">
        <v>7426</v>
      </c>
      <c r="J91">
        <v>10114</v>
      </c>
      <c r="K91">
        <v>3243</v>
      </c>
      <c r="L91">
        <v>2403</v>
      </c>
      <c r="M91">
        <v>465</v>
      </c>
      <c r="N91">
        <v>218</v>
      </c>
    </row>
    <row r="92" spans="1:14" x14ac:dyDescent="0.3">
      <c r="A92" t="s">
        <v>809</v>
      </c>
      <c r="B92" s="177">
        <v>46095</v>
      </c>
      <c r="C92" s="117">
        <v>0.63749999999999996</v>
      </c>
      <c r="D92" t="s">
        <v>802</v>
      </c>
      <c r="E92">
        <v>1</v>
      </c>
      <c r="F92">
        <v>8</v>
      </c>
      <c r="G92">
        <v>987</v>
      </c>
      <c r="H92">
        <v>4731</v>
      </c>
      <c r="I92">
        <v>2486</v>
      </c>
      <c r="J92">
        <v>1410</v>
      </c>
      <c r="K92">
        <v>3245</v>
      </c>
      <c r="L92">
        <v>6413</v>
      </c>
      <c r="M92">
        <v>101</v>
      </c>
      <c r="N92">
        <v>200</v>
      </c>
    </row>
    <row r="93" spans="1:14" x14ac:dyDescent="0.3">
      <c r="A93" t="s">
        <v>810</v>
      </c>
      <c r="B93" s="177">
        <v>46095</v>
      </c>
      <c r="C93" s="117">
        <v>0.64375000000000004</v>
      </c>
      <c r="D93" t="s">
        <v>802</v>
      </c>
      <c r="E93">
        <v>1</v>
      </c>
      <c r="F93">
        <v>9</v>
      </c>
      <c r="G93">
        <v>10114</v>
      </c>
      <c r="H93">
        <v>3243</v>
      </c>
      <c r="I93">
        <v>2403</v>
      </c>
      <c r="J93">
        <v>3216</v>
      </c>
      <c r="K93">
        <v>10980</v>
      </c>
      <c r="L93">
        <v>10933</v>
      </c>
      <c r="M93">
        <v>140</v>
      </c>
      <c r="N93">
        <v>122</v>
      </c>
    </row>
    <row r="94" spans="1:14" x14ac:dyDescent="0.3">
      <c r="A94" t="s">
        <v>811</v>
      </c>
      <c r="B94" s="177">
        <v>46095</v>
      </c>
      <c r="C94" s="117">
        <v>0.65</v>
      </c>
      <c r="D94" t="s">
        <v>802</v>
      </c>
      <c r="E94">
        <v>1</v>
      </c>
      <c r="F94">
        <v>10</v>
      </c>
      <c r="G94">
        <v>987</v>
      </c>
      <c r="H94">
        <v>4731</v>
      </c>
      <c r="I94">
        <v>2486</v>
      </c>
      <c r="J94">
        <v>7333</v>
      </c>
      <c r="K94">
        <v>9501</v>
      </c>
      <c r="L94">
        <v>6479</v>
      </c>
      <c r="M94">
        <v>139</v>
      </c>
      <c r="N94">
        <v>179</v>
      </c>
    </row>
    <row r="95" spans="1:14" x14ac:dyDescent="0.3">
      <c r="A95" t="s">
        <v>812</v>
      </c>
      <c r="B95" s="177">
        <v>46095</v>
      </c>
      <c r="C95" s="117">
        <v>0.65833333333333333</v>
      </c>
      <c r="D95" t="s">
        <v>802</v>
      </c>
      <c r="E95">
        <v>1</v>
      </c>
      <c r="F95">
        <v>11</v>
      </c>
      <c r="G95">
        <v>2122</v>
      </c>
      <c r="H95">
        <v>2478</v>
      </c>
      <c r="I95">
        <v>7426</v>
      </c>
      <c r="J95">
        <v>1410</v>
      </c>
      <c r="K95">
        <v>3245</v>
      </c>
      <c r="L95">
        <v>6413</v>
      </c>
      <c r="M95">
        <v>386</v>
      </c>
      <c r="N95">
        <v>166</v>
      </c>
    </row>
    <row r="96" spans="1:14" x14ac:dyDescent="0.3">
      <c r="A96" t="s">
        <v>813</v>
      </c>
      <c r="B96" s="177">
        <v>46095</v>
      </c>
      <c r="C96" s="117">
        <v>0.6645833333333333</v>
      </c>
      <c r="D96" t="s">
        <v>802</v>
      </c>
      <c r="E96">
        <v>1</v>
      </c>
      <c r="F96">
        <v>12</v>
      </c>
      <c r="G96">
        <v>7333</v>
      </c>
      <c r="H96">
        <v>9501</v>
      </c>
      <c r="I96">
        <v>6479</v>
      </c>
      <c r="J96">
        <v>10114</v>
      </c>
      <c r="K96">
        <v>3243</v>
      </c>
      <c r="L96">
        <v>2403</v>
      </c>
      <c r="M96">
        <v>101</v>
      </c>
      <c r="N96">
        <v>121</v>
      </c>
    </row>
    <row r="97" spans="1:14" x14ac:dyDescent="0.3">
      <c r="A97" t="s">
        <v>814</v>
      </c>
      <c r="B97" s="177">
        <v>46095</v>
      </c>
      <c r="C97" s="117">
        <v>0.6791666666666667</v>
      </c>
      <c r="D97" t="s">
        <v>802</v>
      </c>
      <c r="E97">
        <v>1</v>
      </c>
      <c r="F97">
        <v>13</v>
      </c>
      <c r="G97">
        <v>1410</v>
      </c>
      <c r="H97">
        <v>3245</v>
      </c>
      <c r="I97">
        <v>6413</v>
      </c>
      <c r="J97">
        <v>10114</v>
      </c>
      <c r="K97">
        <v>3243</v>
      </c>
      <c r="L97">
        <v>2403</v>
      </c>
      <c r="M97">
        <v>166</v>
      </c>
      <c r="N97">
        <v>70</v>
      </c>
    </row>
    <row r="98" spans="1:14" x14ac:dyDescent="0.3">
      <c r="A98" t="s">
        <v>815</v>
      </c>
      <c r="B98" s="177">
        <v>46095</v>
      </c>
      <c r="C98" s="117">
        <v>0.69374999999999998</v>
      </c>
      <c r="D98" t="s">
        <v>816</v>
      </c>
      <c r="E98">
        <v>1</v>
      </c>
      <c r="F98">
        <v>1</v>
      </c>
      <c r="G98">
        <v>2122</v>
      </c>
      <c r="H98">
        <v>7426</v>
      </c>
      <c r="I98">
        <v>7755</v>
      </c>
      <c r="J98">
        <v>1410</v>
      </c>
      <c r="K98">
        <v>3245</v>
      </c>
      <c r="L98">
        <v>6413</v>
      </c>
      <c r="M98">
        <v>377</v>
      </c>
      <c r="N98">
        <v>139</v>
      </c>
    </row>
    <row r="99" spans="1:14" x14ac:dyDescent="0.3">
      <c r="A99" t="s">
        <v>817</v>
      </c>
      <c r="B99" s="177">
        <v>46095</v>
      </c>
      <c r="C99" s="117">
        <v>0.70833333333333337</v>
      </c>
      <c r="D99" t="s">
        <v>816</v>
      </c>
      <c r="E99">
        <v>2</v>
      </c>
      <c r="F99">
        <v>1</v>
      </c>
      <c r="G99">
        <v>2122</v>
      </c>
      <c r="H99">
        <v>7426</v>
      </c>
      <c r="I99">
        <v>7755</v>
      </c>
      <c r="J99">
        <v>1410</v>
      </c>
      <c r="K99">
        <v>3245</v>
      </c>
      <c r="L99">
        <v>6413</v>
      </c>
      <c r="M99">
        <v>372</v>
      </c>
      <c r="N99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AD07-A85D-465A-B358-7357CC252748}">
  <dimension ref="A1:E9"/>
  <sheetViews>
    <sheetView workbookViewId="0">
      <selection activeCell="F7" sqref="F7"/>
    </sheetView>
  </sheetViews>
  <sheetFormatPr defaultRowHeight="14.4" x14ac:dyDescent="0.3"/>
  <sheetData>
    <row r="1" spans="1:5" x14ac:dyDescent="0.3">
      <c r="B1" t="s">
        <v>691</v>
      </c>
      <c r="C1" t="s">
        <v>692</v>
      </c>
      <c r="D1" t="s">
        <v>693</v>
      </c>
      <c r="E1" t="s">
        <v>708</v>
      </c>
    </row>
    <row r="2" spans="1:5" x14ac:dyDescent="0.3">
      <c r="A2" t="s">
        <v>684</v>
      </c>
      <c r="B2">
        <v>2122</v>
      </c>
      <c r="C2">
        <v>7426</v>
      </c>
      <c r="D2">
        <v>2478</v>
      </c>
      <c r="E2">
        <v>7755</v>
      </c>
    </row>
    <row r="3" spans="1:5" x14ac:dyDescent="0.3">
      <c r="A3" t="s">
        <v>683</v>
      </c>
      <c r="B3">
        <v>2486</v>
      </c>
      <c r="C3">
        <v>987</v>
      </c>
      <c r="D3">
        <v>4731</v>
      </c>
    </row>
    <row r="4" spans="1:5" x14ac:dyDescent="0.3">
      <c r="A4" t="s">
        <v>685</v>
      </c>
      <c r="B4">
        <v>3245</v>
      </c>
      <c r="C4">
        <v>6413</v>
      </c>
      <c r="D4">
        <v>1410</v>
      </c>
    </row>
    <row r="5" spans="1:5" x14ac:dyDescent="0.3">
      <c r="A5" t="s">
        <v>686</v>
      </c>
      <c r="B5">
        <v>6479</v>
      </c>
      <c r="C5">
        <v>9501</v>
      </c>
      <c r="D5">
        <v>7333</v>
      </c>
      <c r="E5">
        <v>60</v>
      </c>
    </row>
    <row r="6" spans="1:5" x14ac:dyDescent="0.3">
      <c r="A6" t="s">
        <v>687</v>
      </c>
      <c r="B6">
        <v>10114</v>
      </c>
      <c r="C6">
        <v>3243</v>
      </c>
      <c r="D6">
        <v>2403</v>
      </c>
    </row>
    <row r="7" spans="1:5" x14ac:dyDescent="0.3">
      <c r="A7" t="s">
        <v>688</v>
      </c>
      <c r="B7">
        <v>10980</v>
      </c>
      <c r="C7">
        <v>3216</v>
      </c>
      <c r="D7">
        <v>10933</v>
      </c>
    </row>
    <row r="8" spans="1:5" x14ac:dyDescent="0.3">
      <c r="A8" t="s">
        <v>689</v>
      </c>
      <c r="B8">
        <v>10183</v>
      </c>
      <c r="C8">
        <v>7425</v>
      </c>
      <c r="D8">
        <v>1165</v>
      </c>
      <c r="E8">
        <v>11479</v>
      </c>
    </row>
    <row r="9" spans="1:5" x14ac:dyDescent="0.3">
      <c r="A9" t="s">
        <v>690</v>
      </c>
      <c r="B9">
        <v>991</v>
      </c>
      <c r="C9">
        <v>3019</v>
      </c>
      <c r="D9">
        <v>1212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5B43-1DA0-4A15-B352-8DE05C5ECF15}">
  <dimension ref="A1:AB41"/>
  <sheetViews>
    <sheetView zoomScale="45" zoomScaleNormal="57" workbookViewId="0">
      <selection activeCell="M13" sqref="M13"/>
    </sheetView>
  </sheetViews>
  <sheetFormatPr defaultRowHeight="14.4" x14ac:dyDescent="0.3"/>
  <cols>
    <col min="1" max="2" width="14.44140625" bestFit="1" customWidth="1"/>
    <col min="3" max="3" width="6.6640625" bestFit="1" customWidth="1"/>
    <col min="4" max="4" width="13.88671875" bestFit="1" customWidth="1"/>
    <col min="5" max="5" width="16.109375" bestFit="1" customWidth="1"/>
    <col min="6" max="6" width="9.33203125" bestFit="1" customWidth="1"/>
    <col min="7" max="7" width="8.33203125" bestFit="1" customWidth="1"/>
    <col min="8" max="8" width="8.44140625" bestFit="1" customWidth="1"/>
    <col min="9" max="9" width="6.6640625" bestFit="1" customWidth="1"/>
    <col min="11" max="11" width="14.88671875" bestFit="1" customWidth="1"/>
    <col min="12" max="12" width="21.109375" bestFit="1" customWidth="1"/>
    <col min="13" max="13" width="13.5546875" bestFit="1" customWidth="1"/>
    <col min="14" max="15" width="3.33203125" bestFit="1" customWidth="1"/>
    <col min="16" max="16" width="4.33203125" bestFit="1" customWidth="1"/>
    <col min="17" max="17" width="14.44140625" bestFit="1" customWidth="1"/>
    <col min="18" max="18" width="21.33203125" bestFit="1" customWidth="1"/>
    <col min="19" max="19" width="12.5546875" bestFit="1" customWidth="1"/>
    <col min="20" max="20" width="6.5546875" bestFit="1" customWidth="1"/>
    <col min="21" max="21" width="17.21875" bestFit="1" customWidth="1"/>
    <col min="22" max="22" width="10.77734375" bestFit="1" customWidth="1"/>
    <col min="23" max="23" width="9.77734375" bestFit="1" customWidth="1"/>
    <col min="25" max="25" width="9" bestFit="1" customWidth="1"/>
    <col min="26" max="26" width="13" bestFit="1" customWidth="1"/>
    <col min="27" max="27" width="14.77734375" bestFit="1" customWidth="1"/>
  </cols>
  <sheetData>
    <row r="1" spans="1:28" x14ac:dyDescent="0.3">
      <c r="A1" s="30" t="s">
        <v>0</v>
      </c>
      <c r="B1" s="25" t="s">
        <v>1</v>
      </c>
      <c r="C1" s="25" t="s">
        <v>2</v>
      </c>
      <c r="D1" s="82" t="s">
        <v>3</v>
      </c>
      <c r="E1" s="25" t="s">
        <v>4</v>
      </c>
      <c r="F1" s="25" t="s">
        <v>5</v>
      </c>
      <c r="G1" s="25" t="s">
        <v>6</v>
      </c>
      <c r="H1" s="26" t="s">
        <v>7</v>
      </c>
      <c r="I1" s="26" t="s">
        <v>8</v>
      </c>
      <c r="J1" s="26" t="s">
        <v>9</v>
      </c>
      <c r="K1" s="27" t="s">
        <v>72</v>
      </c>
      <c r="L1" s="27" t="s">
        <v>73</v>
      </c>
      <c r="M1" s="27" t="s">
        <v>74</v>
      </c>
      <c r="N1" s="83" t="s">
        <v>180</v>
      </c>
      <c r="O1" s="83" t="s">
        <v>181</v>
      </c>
      <c r="P1" s="83" t="s">
        <v>182</v>
      </c>
      <c r="Q1" s="27" t="s">
        <v>75</v>
      </c>
      <c r="R1" s="27" t="s">
        <v>76</v>
      </c>
      <c r="S1" s="28" t="s">
        <v>11</v>
      </c>
      <c r="T1" s="28" t="s">
        <v>12</v>
      </c>
      <c r="U1" s="28" t="s">
        <v>13</v>
      </c>
      <c r="V1" s="29" t="s">
        <v>14</v>
      </c>
      <c r="W1" s="79" t="s">
        <v>148</v>
      </c>
      <c r="Y1" s="165" t="s">
        <v>190</v>
      </c>
      <c r="Z1" s="165"/>
    </row>
    <row r="2" spans="1:28" ht="158.4" x14ac:dyDescent="0.3">
      <c r="A2" s="127" t="s">
        <v>234</v>
      </c>
      <c r="B2" s="91">
        <v>1</v>
      </c>
      <c r="C2" s="91" t="s">
        <v>34</v>
      </c>
      <c r="D2" s="91">
        <v>2122</v>
      </c>
      <c r="E2" s="91" t="s">
        <v>235</v>
      </c>
      <c r="F2" s="91" t="s">
        <v>209</v>
      </c>
      <c r="G2" s="91" t="s">
        <v>201</v>
      </c>
      <c r="H2" s="91" t="s">
        <v>201</v>
      </c>
      <c r="I2" s="91" t="s">
        <v>201</v>
      </c>
      <c r="J2" s="91" t="s">
        <v>236</v>
      </c>
      <c r="K2" s="91" t="s">
        <v>201</v>
      </c>
      <c r="L2" s="91" t="s">
        <v>209</v>
      </c>
      <c r="M2" s="91" t="s">
        <v>209</v>
      </c>
      <c r="N2" s="91">
        <v>0</v>
      </c>
      <c r="O2" s="91">
        <v>0</v>
      </c>
      <c r="P2" s="91">
        <v>40</v>
      </c>
      <c r="Q2" s="91">
        <v>82</v>
      </c>
      <c r="R2" s="91" t="s">
        <v>209</v>
      </c>
      <c r="S2" s="91" t="s">
        <v>78</v>
      </c>
      <c r="T2" s="91" t="s">
        <v>201</v>
      </c>
      <c r="U2" s="91" t="s">
        <v>209</v>
      </c>
      <c r="V2" s="128" t="s">
        <v>237</v>
      </c>
      <c r="W2" s="129">
        <v>3</v>
      </c>
      <c r="Y2" t="s">
        <v>29</v>
      </c>
      <c r="Z2" t="s">
        <v>191</v>
      </c>
      <c r="AB2" t="s">
        <v>233</v>
      </c>
    </row>
    <row r="3" spans="1:28" ht="72" x14ac:dyDescent="0.3">
      <c r="A3" s="130" t="s">
        <v>238</v>
      </c>
      <c r="B3" s="92">
        <v>1</v>
      </c>
      <c r="C3" s="92" t="s">
        <v>35</v>
      </c>
      <c r="D3" s="92">
        <v>1165</v>
      </c>
      <c r="E3" s="92" t="s">
        <v>239</v>
      </c>
      <c r="F3" s="92" t="s">
        <v>209</v>
      </c>
      <c r="G3" s="92" t="s">
        <v>201</v>
      </c>
      <c r="H3" s="92" t="s">
        <v>209</v>
      </c>
      <c r="I3" s="92" t="s">
        <v>209</v>
      </c>
      <c r="J3" s="92" t="s">
        <v>78</v>
      </c>
      <c r="K3" s="92" t="s">
        <v>201</v>
      </c>
      <c r="L3" s="92" t="s">
        <v>209</v>
      </c>
      <c r="M3" s="92" t="s">
        <v>209</v>
      </c>
      <c r="N3" s="92">
        <v>5</v>
      </c>
      <c r="O3" s="92">
        <v>15</v>
      </c>
      <c r="P3" s="92">
        <v>20</v>
      </c>
      <c r="Q3" s="92">
        <v>1</v>
      </c>
      <c r="R3" s="92" t="s">
        <v>209</v>
      </c>
      <c r="S3" s="92" t="s">
        <v>78</v>
      </c>
      <c r="T3" s="92" t="s">
        <v>209</v>
      </c>
      <c r="U3" s="92" t="s">
        <v>209</v>
      </c>
      <c r="V3" s="131" t="s">
        <v>240</v>
      </c>
      <c r="W3" s="132">
        <v>2</v>
      </c>
      <c r="Y3">
        <v>1</v>
      </c>
      <c r="Z3">
        <v>996</v>
      </c>
    </row>
    <row r="4" spans="1:28" x14ac:dyDescent="0.3">
      <c r="A4" s="127" t="s">
        <v>238</v>
      </c>
      <c r="B4" s="91">
        <v>2</v>
      </c>
      <c r="C4" s="91" t="s">
        <v>35</v>
      </c>
      <c r="D4" s="91">
        <v>3245</v>
      </c>
      <c r="E4" s="91" t="s">
        <v>239</v>
      </c>
      <c r="F4" s="91" t="s">
        <v>209</v>
      </c>
      <c r="G4" s="91" t="s">
        <v>201</v>
      </c>
      <c r="H4" s="91" t="s">
        <v>201</v>
      </c>
      <c r="I4" s="91" t="s">
        <v>201</v>
      </c>
      <c r="J4" s="91" t="s">
        <v>78</v>
      </c>
      <c r="K4" s="91" t="s">
        <v>201</v>
      </c>
      <c r="L4" s="91" t="s">
        <v>209</v>
      </c>
      <c r="M4" s="91" t="s">
        <v>209</v>
      </c>
      <c r="N4" s="91">
        <v>0</v>
      </c>
      <c r="O4" s="91">
        <v>0</v>
      </c>
      <c r="P4" s="91">
        <v>55</v>
      </c>
      <c r="Q4" s="91">
        <v>80</v>
      </c>
      <c r="R4" s="91" t="s">
        <v>201</v>
      </c>
      <c r="S4" s="91" t="s">
        <v>78</v>
      </c>
      <c r="T4" s="91" t="s">
        <v>209</v>
      </c>
      <c r="U4" s="91" t="s">
        <v>209</v>
      </c>
      <c r="V4" s="128" t="s">
        <v>242</v>
      </c>
      <c r="W4" s="129">
        <v>4</v>
      </c>
    </row>
    <row r="5" spans="1:28" ht="43.2" x14ac:dyDescent="0.3">
      <c r="A5" s="130" t="s">
        <v>244</v>
      </c>
      <c r="B5" s="92">
        <v>3</v>
      </c>
      <c r="C5" s="92" t="s">
        <v>33</v>
      </c>
      <c r="D5" s="92">
        <v>991</v>
      </c>
      <c r="E5" s="92" t="s">
        <v>235</v>
      </c>
      <c r="F5" s="92" t="s">
        <v>209</v>
      </c>
      <c r="G5" s="92" t="s">
        <v>201</v>
      </c>
      <c r="H5" s="92" t="s">
        <v>201</v>
      </c>
      <c r="I5" s="92" t="s">
        <v>201</v>
      </c>
      <c r="J5" s="92" t="s">
        <v>78</v>
      </c>
      <c r="K5" s="92" t="s">
        <v>201</v>
      </c>
      <c r="L5" s="92" t="s">
        <v>209</v>
      </c>
      <c r="M5" s="92" t="s">
        <v>209</v>
      </c>
      <c r="N5" s="92">
        <v>9</v>
      </c>
      <c r="O5" s="92">
        <v>15</v>
      </c>
      <c r="P5" s="92">
        <v>30</v>
      </c>
      <c r="Q5" s="92">
        <v>31</v>
      </c>
      <c r="R5" s="92" t="s">
        <v>209</v>
      </c>
      <c r="S5" s="92" t="s">
        <v>78</v>
      </c>
      <c r="T5" s="92" t="s">
        <v>209</v>
      </c>
      <c r="U5" s="92" t="s">
        <v>209</v>
      </c>
      <c r="V5" s="131" t="s">
        <v>243</v>
      </c>
      <c r="W5" s="132">
        <v>3</v>
      </c>
    </row>
    <row r="6" spans="1:28" x14ac:dyDescent="0.3">
      <c r="A6" s="127" t="s">
        <v>234</v>
      </c>
      <c r="B6" s="91">
        <v>4</v>
      </c>
      <c r="C6" s="91" t="s">
        <v>34</v>
      </c>
      <c r="D6" s="91">
        <v>60</v>
      </c>
      <c r="E6" s="91" t="s">
        <v>235</v>
      </c>
      <c r="F6" s="91" t="s">
        <v>209</v>
      </c>
      <c r="G6" s="91" t="s">
        <v>201</v>
      </c>
      <c r="H6" s="91" t="s">
        <v>209</v>
      </c>
      <c r="I6" s="91" t="s">
        <v>209</v>
      </c>
      <c r="J6" s="91" t="s">
        <v>236</v>
      </c>
      <c r="K6" s="91" t="s">
        <v>201</v>
      </c>
      <c r="L6" s="91" t="s">
        <v>209</v>
      </c>
      <c r="M6" s="91" t="s">
        <v>209</v>
      </c>
      <c r="N6" s="91">
        <v>15</v>
      </c>
      <c r="O6" s="91">
        <v>3</v>
      </c>
      <c r="P6" s="91">
        <v>0</v>
      </c>
      <c r="Q6" s="91">
        <v>11</v>
      </c>
      <c r="R6" s="91" t="s">
        <v>209</v>
      </c>
      <c r="S6" s="91" t="s">
        <v>78</v>
      </c>
      <c r="T6" s="91" t="s">
        <v>209</v>
      </c>
      <c r="U6" s="91" t="s">
        <v>209</v>
      </c>
      <c r="V6" s="128"/>
      <c r="W6" s="129">
        <v>2</v>
      </c>
    </row>
    <row r="7" spans="1:28" ht="28.8" x14ac:dyDescent="0.3">
      <c r="A7" s="130" t="s">
        <v>245</v>
      </c>
      <c r="B7" s="92">
        <v>4</v>
      </c>
      <c r="C7" s="92" t="s">
        <v>33</v>
      </c>
      <c r="D7" s="92">
        <v>1828</v>
      </c>
      <c r="E7" s="92" t="s">
        <v>239</v>
      </c>
      <c r="F7" s="92" t="s">
        <v>209</v>
      </c>
      <c r="G7" s="92" t="s">
        <v>201</v>
      </c>
      <c r="H7" s="92" t="s">
        <v>209</v>
      </c>
      <c r="I7" s="92" t="s">
        <v>209</v>
      </c>
      <c r="J7" s="92" t="s">
        <v>236</v>
      </c>
      <c r="K7" s="92" t="s">
        <v>201</v>
      </c>
      <c r="L7" s="92" t="s">
        <v>209</v>
      </c>
      <c r="M7" s="92" t="s">
        <v>209</v>
      </c>
      <c r="N7" s="92">
        <v>0</v>
      </c>
      <c r="O7" s="92">
        <v>9</v>
      </c>
      <c r="P7" s="92">
        <v>20</v>
      </c>
      <c r="Q7" s="92">
        <v>86</v>
      </c>
      <c r="R7" s="92" t="s">
        <v>209</v>
      </c>
      <c r="S7" s="92" t="s">
        <v>78</v>
      </c>
      <c r="T7" s="92" t="s">
        <v>209</v>
      </c>
      <c r="U7" s="92" t="s">
        <v>209</v>
      </c>
      <c r="V7" s="131" t="s">
        <v>246</v>
      </c>
      <c r="W7" s="132">
        <v>3</v>
      </c>
    </row>
    <row r="8" spans="1:28" ht="43.2" x14ac:dyDescent="0.3">
      <c r="A8" s="107" t="s">
        <v>245</v>
      </c>
      <c r="B8" s="108">
        <v>5</v>
      </c>
      <c r="C8" s="109" t="s">
        <v>33</v>
      </c>
      <c r="D8" s="108">
        <v>6413</v>
      </c>
      <c r="E8" s="109" t="s">
        <v>239</v>
      </c>
      <c r="F8" s="109" t="s">
        <v>209</v>
      </c>
      <c r="G8" s="109" t="s">
        <v>201</v>
      </c>
      <c r="H8" s="109" t="s">
        <v>201</v>
      </c>
      <c r="I8" s="109" t="s">
        <v>209</v>
      </c>
      <c r="J8" s="109" t="s">
        <v>236</v>
      </c>
      <c r="K8" s="109" t="s">
        <v>201</v>
      </c>
      <c r="L8" s="109" t="s">
        <v>209</v>
      </c>
      <c r="M8" s="109" t="s">
        <v>201</v>
      </c>
      <c r="N8" s="108">
        <v>4</v>
      </c>
      <c r="O8" s="108">
        <v>9</v>
      </c>
      <c r="P8" s="108">
        <v>30</v>
      </c>
      <c r="Q8" s="133">
        <v>1</v>
      </c>
      <c r="R8" s="134" t="s">
        <v>209</v>
      </c>
      <c r="S8" s="134" t="s">
        <v>78</v>
      </c>
      <c r="T8" s="109" t="s">
        <v>209</v>
      </c>
      <c r="U8" s="109" t="s">
        <v>209</v>
      </c>
      <c r="V8" s="135" t="s">
        <v>247</v>
      </c>
      <c r="W8" s="136">
        <v>4</v>
      </c>
    </row>
    <row r="9" spans="1:28" ht="57.6" x14ac:dyDescent="0.3">
      <c r="A9" s="110" t="s">
        <v>248</v>
      </c>
      <c r="B9" s="111">
        <v>5</v>
      </c>
      <c r="C9" s="112" t="s">
        <v>32</v>
      </c>
      <c r="D9" s="111">
        <v>2486</v>
      </c>
      <c r="E9" s="112" t="s">
        <v>239</v>
      </c>
      <c r="F9" s="112" t="s">
        <v>209</v>
      </c>
      <c r="G9" s="112" t="s">
        <v>201</v>
      </c>
      <c r="H9" s="112" t="s">
        <v>201</v>
      </c>
      <c r="I9" s="112" t="s">
        <v>209</v>
      </c>
      <c r="J9" s="112" t="s">
        <v>78</v>
      </c>
      <c r="K9" s="112" t="s">
        <v>201</v>
      </c>
      <c r="L9" s="112" t="s">
        <v>209</v>
      </c>
      <c r="M9" s="112" t="s">
        <v>209</v>
      </c>
      <c r="N9" s="111">
        <v>2</v>
      </c>
      <c r="O9" s="111">
        <v>3</v>
      </c>
      <c r="P9" s="111">
        <v>25</v>
      </c>
      <c r="Q9" s="137">
        <v>41</v>
      </c>
      <c r="R9" s="138" t="s">
        <v>209</v>
      </c>
      <c r="S9" s="138" t="s">
        <v>78</v>
      </c>
      <c r="T9" s="112" t="s">
        <v>209</v>
      </c>
      <c r="U9" s="112" t="s">
        <v>209</v>
      </c>
      <c r="V9" s="139" t="s">
        <v>249</v>
      </c>
      <c r="W9" s="140">
        <v>3</v>
      </c>
    </row>
    <row r="10" spans="1:28" ht="28.8" x14ac:dyDescent="0.3">
      <c r="A10" s="107" t="s">
        <v>250</v>
      </c>
      <c r="B10" s="108">
        <v>5</v>
      </c>
      <c r="C10" s="109" t="s">
        <v>30</v>
      </c>
      <c r="D10" s="108">
        <v>7425</v>
      </c>
      <c r="E10" s="109" t="s">
        <v>241</v>
      </c>
      <c r="F10" s="109" t="s">
        <v>209</v>
      </c>
      <c r="G10" s="109" t="s">
        <v>201</v>
      </c>
      <c r="H10" s="109" t="s">
        <v>201</v>
      </c>
      <c r="I10" s="109" t="s">
        <v>201</v>
      </c>
      <c r="J10" s="109" t="s">
        <v>236</v>
      </c>
      <c r="K10" s="109" t="s">
        <v>201</v>
      </c>
      <c r="L10" s="109" t="s">
        <v>209</v>
      </c>
      <c r="M10" s="109" t="s">
        <v>201</v>
      </c>
      <c r="N10" s="108">
        <v>0</v>
      </c>
      <c r="O10" s="108">
        <v>0</v>
      </c>
      <c r="P10" s="108">
        <v>20</v>
      </c>
      <c r="Q10" s="133">
        <v>64</v>
      </c>
      <c r="R10" s="134" t="s">
        <v>209</v>
      </c>
      <c r="S10" s="134" t="s">
        <v>78</v>
      </c>
      <c r="T10" s="109" t="s">
        <v>209</v>
      </c>
      <c r="U10" s="109" t="s">
        <v>209</v>
      </c>
      <c r="V10" s="135" t="s">
        <v>251</v>
      </c>
      <c r="W10" s="136">
        <v>4</v>
      </c>
    </row>
    <row r="11" spans="1:28" ht="129.6" x14ac:dyDescent="0.3">
      <c r="A11" s="110" t="s">
        <v>238</v>
      </c>
      <c r="B11" s="111">
        <v>5</v>
      </c>
      <c r="C11" s="112" t="s">
        <v>35</v>
      </c>
      <c r="D11" s="111">
        <v>10933</v>
      </c>
      <c r="E11" s="112" t="s">
        <v>235</v>
      </c>
      <c r="F11" s="112" t="s">
        <v>209</v>
      </c>
      <c r="G11" s="112" t="s">
        <v>201</v>
      </c>
      <c r="H11" s="112" t="s">
        <v>209</v>
      </c>
      <c r="I11" s="112" t="s">
        <v>209</v>
      </c>
      <c r="J11" s="112" t="s">
        <v>78</v>
      </c>
      <c r="K11" s="112" t="s">
        <v>209</v>
      </c>
      <c r="L11" s="112" t="s">
        <v>209</v>
      </c>
      <c r="M11" s="112" t="s">
        <v>209</v>
      </c>
      <c r="N11" s="111">
        <v>0</v>
      </c>
      <c r="O11" s="111">
        <v>3</v>
      </c>
      <c r="P11" s="111">
        <v>0</v>
      </c>
      <c r="Q11" s="137">
        <v>33</v>
      </c>
      <c r="R11" s="138" t="s">
        <v>201</v>
      </c>
      <c r="S11" s="138" t="s">
        <v>80</v>
      </c>
      <c r="T11" s="112" t="s">
        <v>209</v>
      </c>
      <c r="U11" s="112" t="s">
        <v>209</v>
      </c>
      <c r="V11" s="139" t="s">
        <v>252</v>
      </c>
      <c r="W11" s="140">
        <v>2</v>
      </c>
    </row>
    <row r="12" spans="1:28" ht="28.8" x14ac:dyDescent="0.3">
      <c r="A12" s="127" t="s">
        <v>253</v>
      </c>
      <c r="B12" s="91">
        <v>6</v>
      </c>
      <c r="C12" s="91" t="s">
        <v>34</v>
      </c>
      <c r="D12" s="91">
        <v>1410</v>
      </c>
      <c r="E12" s="91" t="s">
        <v>235</v>
      </c>
      <c r="F12" s="91" t="s">
        <v>209</v>
      </c>
      <c r="G12" s="91" t="s">
        <v>201</v>
      </c>
      <c r="H12" s="91" t="s">
        <v>201</v>
      </c>
      <c r="I12" s="91" t="s">
        <v>201</v>
      </c>
      <c r="J12" s="91" t="s">
        <v>78</v>
      </c>
      <c r="K12" s="91" t="s">
        <v>209</v>
      </c>
      <c r="L12" s="91" t="s">
        <v>209</v>
      </c>
      <c r="M12" s="91" t="s">
        <v>209</v>
      </c>
      <c r="N12" s="91">
        <v>0</v>
      </c>
      <c r="O12" s="91">
        <v>0</v>
      </c>
      <c r="P12" s="91">
        <v>0</v>
      </c>
      <c r="Q12" s="91">
        <v>100</v>
      </c>
      <c r="R12" s="91" t="s">
        <v>209</v>
      </c>
      <c r="S12" s="91" t="s">
        <v>78</v>
      </c>
      <c r="T12" s="91" t="s">
        <v>209</v>
      </c>
      <c r="U12" s="91" t="s">
        <v>209</v>
      </c>
      <c r="V12" s="128" t="s">
        <v>254</v>
      </c>
      <c r="W12" s="129">
        <v>4</v>
      </c>
    </row>
    <row r="13" spans="1:28" ht="86.4" x14ac:dyDescent="0.3">
      <c r="A13" s="130" t="s">
        <v>250</v>
      </c>
      <c r="B13" s="92">
        <v>6</v>
      </c>
      <c r="C13" s="92" t="s">
        <v>35</v>
      </c>
      <c r="D13" s="92">
        <v>7426</v>
      </c>
      <c r="E13" s="92" t="s">
        <v>235</v>
      </c>
      <c r="F13" s="92" t="s">
        <v>209</v>
      </c>
      <c r="G13" s="92" t="s">
        <v>201</v>
      </c>
      <c r="H13" s="92" t="s">
        <v>201</v>
      </c>
      <c r="I13" s="92" t="s">
        <v>209</v>
      </c>
      <c r="J13" s="92" t="s">
        <v>78</v>
      </c>
      <c r="K13" s="92" t="s">
        <v>201</v>
      </c>
      <c r="L13" s="92" t="s">
        <v>201</v>
      </c>
      <c r="M13" s="92" t="s">
        <v>201</v>
      </c>
      <c r="N13" s="92">
        <v>0</v>
      </c>
      <c r="O13" s="92">
        <v>0</v>
      </c>
      <c r="P13" s="92">
        <v>75</v>
      </c>
      <c r="Q13" s="92">
        <v>89</v>
      </c>
      <c r="R13" s="92" t="s">
        <v>201</v>
      </c>
      <c r="S13" s="92" t="s">
        <v>77</v>
      </c>
      <c r="T13" s="92" t="s">
        <v>209</v>
      </c>
      <c r="U13" s="92" t="s">
        <v>209</v>
      </c>
      <c r="V13" s="131" t="s">
        <v>255</v>
      </c>
      <c r="W13" s="132">
        <v>5</v>
      </c>
    </row>
    <row r="14" spans="1:28" ht="72" x14ac:dyDescent="0.3">
      <c r="A14" s="127" t="s">
        <v>256</v>
      </c>
      <c r="B14" s="91">
        <v>6</v>
      </c>
      <c r="C14" s="91" t="s">
        <v>33</v>
      </c>
      <c r="D14" s="91">
        <v>2840</v>
      </c>
      <c r="E14" s="91" t="s">
        <v>239</v>
      </c>
      <c r="F14" s="91" t="s">
        <v>209</v>
      </c>
      <c r="G14" s="91" t="s">
        <v>201</v>
      </c>
      <c r="H14" s="91" t="s">
        <v>209</v>
      </c>
      <c r="I14" s="91" t="s">
        <v>201</v>
      </c>
      <c r="J14" s="91" t="s">
        <v>78</v>
      </c>
      <c r="K14" s="91" t="s">
        <v>201</v>
      </c>
      <c r="L14" s="91" t="s">
        <v>209</v>
      </c>
      <c r="M14" s="91" t="s">
        <v>209</v>
      </c>
      <c r="N14" s="91">
        <v>0</v>
      </c>
      <c r="O14" s="91">
        <v>3</v>
      </c>
      <c r="P14" s="91">
        <v>0</v>
      </c>
      <c r="Q14" s="91">
        <v>35</v>
      </c>
      <c r="R14" s="91" t="s">
        <v>209</v>
      </c>
      <c r="S14" s="91" t="s">
        <v>78</v>
      </c>
      <c r="T14" s="91" t="s">
        <v>209</v>
      </c>
      <c r="U14" s="91" t="s">
        <v>209</v>
      </c>
      <c r="V14" s="128" t="s">
        <v>257</v>
      </c>
      <c r="W14" s="129">
        <v>3</v>
      </c>
    </row>
    <row r="15" spans="1:28" x14ac:dyDescent="0.3">
      <c r="A15" s="130" t="s">
        <v>256</v>
      </c>
      <c r="B15" s="92">
        <v>7</v>
      </c>
      <c r="C15" s="92" t="s">
        <v>35</v>
      </c>
      <c r="D15" s="92">
        <v>7333</v>
      </c>
      <c r="E15" s="92" t="s">
        <v>239</v>
      </c>
      <c r="F15" s="92" t="s">
        <v>209</v>
      </c>
      <c r="G15" s="92" t="s">
        <v>201</v>
      </c>
      <c r="H15" s="92" t="s">
        <v>201</v>
      </c>
      <c r="I15" s="92" t="s">
        <v>201</v>
      </c>
      <c r="J15" s="92" t="s">
        <v>78</v>
      </c>
      <c r="K15" s="92" t="s">
        <v>209</v>
      </c>
      <c r="L15" s="92" t="s">
        <v>209</v>
      </c>
      <c r="M15" s="92" t="s">
        <v>276</v>
      </c>
      <c r="N15" s="92">
        <v>0</v>
      </c>
      <c r="O15" s="92">
        <v>0</v>
      </c>
      <c r="P15" s="92">
        <v>25</v>
      </c>
      <c r="Q15" s="92">
        <v>50</v>
      </c>
      <c r="R15" s="92" t="s">
        <v>209</v>
      </c>
      <c r="S15" s="92" t="s">
        <v>78</v>
      </c>
      <c r="T15" s="92" t="s">
        <v>209</v>
      </c>
      <c r="U15" s="92" t="s">
        <v>209</v>
      </c>
      <c r="V15" s="131"/>
      <c r="W15" s="132">
        <v>5</v>
      </c>
    </row>
    <row r="16" spans="1:28" x14ac:dyDescent="0.3">
      <c r="A16" s="127" t="s">
        <v>256</v>
      </c>
      <c r="B16" s="91">
        <v>8</v>
      </c>
      <c r="C16" s="91" t="s">
        <v>33</v>
      </c>
      <c r="D16" s="91">
        <v>11479</v>
      </c>
      <c r="E16" s="91" t="s">
        <v>239</v>
      </c>
      <c r="F16" s="91" t="s">
        <v>209</v>
      </c>
      <c r="G16" s="91" t="s">
        <v>201</v>
      </c>
      <c r="H16" s="91" t="s">
        <v>201</v>
      </c>
      <c r="I16" s="91" t="s">
        <v>201</v>
      </c>
      <c r="J16" s="91" t="s">
        <v>78</v>
      </c>
      <c r="K16" s="91" t="s">
        <v>201</v>
      </c>
      <c r="L16" s="91" t="s">
        <v>209</v>
      </c>
      <c r="M16" s="91" t="s">
        <v>209</v>
      </c>
      <c r="N16" s="91">
        <v>0</v>
      </c>
      <c r="O16" s="91">
        <v>18</v>
      </c>
      <c r="P16" s="91">
        <v>30</v>
      </c>
      <c r="Q16" s="91">
        <v>50</v>
      </c>
      <c r="R16" s="91" t="s">
        <v>209</v>
      </c>
      <c r="S16" s="91" t="s">
        <v>78</v>
      </c>
      <c r="T16" s="91" t="s">
        <v>209</v>
      </c>
      <c r="U16" s="91" t="s">
        <v>209</v>
      </c>
      <c r="V16" s="128"/>
      <c r="W16" s="129">
        <v>3</v>
      </c>
    </row>
    <row r="17" spans="1:23" x14ac:dyDescent="0.3">
      <c r="A17" s="110" t="s">
        <v>253</v>
      </c>
      <c r="B17" s="111">
        <v>8</v>
      </c>
      <c r="C17" s="112" t="s">
        <v>34</v>
      </c>
      <c r="D17" s="111">
        <v>987</v>
      </c>
      <c r="E17" s="112" t="s">
        <v>235</v>
      </c>
      <c r="F17" s="112" t="s">
        <v>209</v>
      </c>
      <c r="G17" s="112" t="s">
        <v>201</v>
      </c>
      <c r="H17" s="112" t="s">
        <v>201</v>
      </c>
      <c r="I17" s="112" t="s">
        <v>201</v>
      </c>
      <c r="J17" s="112" t="s">
        <v>78</v>
      </c>
      <c r="K17" s="112" t="s">
        <v>201</v>
      </c>
      <c r="L17" s="112" t="s">
        <v>209</v>
      </c>
      <c r="M17" s="112" t="s">
        <v>209</v>
      </c>
      <c r="N17" s="111">
        <v>6</v>
      </c>
      <c r="O17" s="111">
        <v>0</v>
      </c>
      <c r="P17" s="111">
        <v>0</v>
      </c>
      <c r="Q17" s="137">
        <v>80</v>
      </c>
      <c r="R17" s="138" t="s">
        <v>209</v>
      </c>
      <c r="S17" s="138" t="s">
        <v>78</v>
      </c>
      <c r="T17" s="112" t="s">
        <v>201</v>
      </c>
      <c r="U17" s="112" t="s">
        <v>209</v>
      </c>
      <c r="V17" s="139"/>
      <c r="W17" s="140">
        <v>4</v>
      </c>
    </row>
    <row r="18" spans="1:23" ht="72" x14ac:dyDescent="0.3">
      <c r="A18" s="107" t="s">
        <v>256</v>
      </c>
      <c r="B18" s="108">
        <v>9</v>
      </c>
      <c r="C18" s="109" t="s">
        <v>33</v>
      </c>
      <c r="D18" s="108">
        <v>9059</v>
      </c>
      <c r="E18" s="109" t="s">
        <v>235</v>
      </c>
      <c r="F18" s="109" t="s">
        <v>209</v>
      </c>
      <c r="G18" s="109" t="s">
        <v>209</v>
      </c>
      <c r="H18" s="109" t="s">
        <v>209</v>
      </c>
      <c r="I18" s="109" t="s">
        <v>209</v>
      </c>
      <c r="J18" s="109" t="s">
        <v>78</v>
      </c>
      <c r="K18" s="109" t="s">
        <v>201</v>
      </c>
      <c r="L18" s="109" t="s">
        <v>209</v>
      </c>
      <c r="M18" s="109" t="s">
        <v>209</v>
      </c>
      <c r="N18" s="108">
        <v>0</v>
      </c>
      <c r="O18" s="108">
        <v>0</v>
      </c>
      <c r="P18" s="108">
        <v>0</v>
      </c>
      <c r="Q18" s="134"/>
      <c r="R18" s="134" t="s">
        <v>209</v>
      </c>
      <c r="S18" s="134" t="s">
        <v>78</v>
      </c>
      <c r="T18" s="109" t="s">
        <v>209</v>
      </c>
      <c r="U18" s="109" t="s">
        <v>209</v>
      </c>
      <c r="V18" s="135" t="s">
        <v>277</v>
      </c>
      <c r="W18" s="136">
        <v>3</v>
      </c>
    </row>
    <row r="19" spans="1:23" ht="57.6" x14ac:dyDescent="0.3">
      <c r="A19" s="113" t="s">
        <v>253</v>
      </c>
      <c r="B19" s="111">
        <v>9</v>
      </c>
      <c r="C19" s="114" t="s">
        <v>34</v>
      </c>
      <c r="D19" s="111">
        <v>4731</v>
      </c>
      <c r="E19" s="114" t="s">
        <v>241</v>
      </c>
      <c r="F19" s="112" t="s">
        <v>209</v>
      </c>
      <c r="G19" s="112" t="s">
        <v>201</v>
      </c>
      <c r="H19" s="112" t="s">
        <v>201</v>
      </c>
      <c r="I19" s="112" t="s">
        <v>201</v>
      </c>
      <c r="J19" s="114" t="s">
        <v>78</v>
      </c>
      <c r="K19" s="114" t="s">
        <v>201</v>
      </c>
      <c r="L19" s="114" t="s">
        <v>209</v>
      </c>
      <c r="M19" s="112" t="s">
        <v>209</v>
      </c>
      <c r="N19" s="111">
        <v>16</v>
      </c>
      <c r="O19" s="111">
        <v>0</v>
      </c>
      <c r="P19" s="111">
        <v>0</v>
      </c>
      <c r="Q19" s="92">
        <v>10</v>
      </c>
      <c r="R19" s="92" t="s">
        <v>209</v>
      </c>
      <c r="S19" s="92" t="s">
        <v>77</v>
      </c>
      <c r="T19" s="112" t="s">
        <v>209</v>
      </c>
      <c r="U19" s="112" t="s">
        <v>209</v>
      </c>
      <c r="V19" s="131" t="s">
        <v>278</v>
      </c>
      <c r="W19" s="140">
        <v>3</v>
      </c>
    </row>
    <row r="20" spans="1:23" ht="43.2" x14ac:dyDescent="0.3">
      <c r="A20" s="115" t="s">
        <v>256</v>
      </c>
      <c r="B20" s="108">
        <v>10</v>
      </c>
      <c r="C20" s="116" t="s">
        <v>33</v>
      </c>
      <c r="D20" s="108">
        <v>6413</v>
      </c>
      <c r="E20" s="116" t="s">
        <v>241</v>
      </c>
      <c r="F20" s="109" t="s">
        <v>209</v>
      </c>
      <c r="G20" s="109" t="s">
        <v>201</v>
      </c>
      <c r="H20" s="109" t="s">
        <v>201</v>
      </c>
      <c r="I20" s="109" t="s">
        <v>209</v>
      </c>
      <c r="J20" s="116"/>
      <c r="K20" s="116" t="s">
        <v>209</v>
      </c>
      <c r="L20" s="116" t="s">
        <v>209</v>
      </c>
      <c r="M20" s="109" t="s">
        <v>209</v>
      </c>
      <c r="N20" s="108">
        <v>0</v>
      </c>
      <c r="O20" s="108">
        <v>0</v>
      </c>
      <c r="P20" s="108">
        <v>10</v>
      </c>
      <c r="Q20" s="91">
        <v>70</v>
      </c>
      <c r="R20" s="91" t="s">
        <v>209</v>
      </c>
      <c r="S20" s="91" t="s">
        <v>78</v>
      </c>
      <c r="T20" s="109" t="s">
        <v>209</v>
      </c>
      <c r="U20" s="109" t="s">
        <v>209</v>
      </c>
      <c r="V20" s="128" t="s">
        <v>279</v>
      </c>
      <c r="W20" s="136">
        <v>3</v>
      </c>
    </row>
    <row r="21" spans="1:23" x14ac:dyDescent="0.3">
      <c r="A21" s="113" t="s">
        <v>253</v>
      </c>
      <c r="B21" s="111">
        <v>10</v>
      </c>
      <c r="C21" s="114" t="s">
        <v>34</v>
      </c>
      <c r="D21" s="111">
        <v>2122</v>
      </c>
      <c r="E21" s="114" t="s">
        <v>235</v>
      </c>
      <c r="F21" s="112" t="s">
        <v>209</v>
      </c>
      <c r="G21" s="112" t="s">
        <v>201</v>
      </c>
      <c r="H21" s="112" t="s">
        <v>201</v>
      </c>
      <c r="I21" s="112" t="s">
        <v>201</v>
      </c>
      <c r="J21" s="114" t="s">
        <v>78</v>
      </c>
      <c r="K21" s="114" t="s">
        <v>201</v>
      </c>
      <c r="L21" s="114" t="s">
        <v>209</v>
      </c>
      <c r="M21" s="112" t="s">
        <v>209</v>
      </c>
      <c r="N21" s="111">
        <v>0</v>
      </c>
      <c r="O21" s="111">
        <v>0</v>
      </c>
      <c r="P21" s="111">
        <v>110</v>
      </c>
      <c r="Q21" s="92">
        <v>90</v>
      </c>
      <c r="R21" s="92" t="s">
        <v>209</v>
      </c>
      <c r="S21" s="92" t="s">
        <v>78</v>
      </c>
      <c r="T21" s="112" t="s">
        <v>209</v>
      </c>
      <c r="U21" s="112" t="s">
        <v>209</v>
      </c>
      <c r="V21" s="131"/>
      <c r="W21" s="132">
        <v>5</v>
      </c>
    </row>
    <row r="22" spans="1:23" x14ac:dyDescent="0.3">
      <c r="A22" s="115" t="s">
        <v>280</v>
      </c>
      <c r="B22" s="108">
        <v>11</v>
      </c>
      <c r="C22" s="116" t="s">
        <v>33</v>
      </c>
      <c r="D22" s="108">
        <v>3243</v>
      </c>
      <c r="E22" s="116" t="s">
        <v>239</v>
      </c>
      <c r="F22" s="109" t="s">
        <v>209</v>
      </c>
      <c r="G22" s="109" t="s">
        <v>201</v>
      </c>
      <c r="H22" s="109" t="s">
        <v>201</v>
      </c>
      <c r="I22" s="109" t="s">
        <v>201</v>
      </c>
      <c r="J22" s="116" t="s">
        <v>78</v>
      </c>
      <c r="K22" s="116" t="s">
        <v>201</v>
      </c>
      <c r="L22" s="116" t="s">
        <v>209</v>
      </c>
      <c r="M22" s="109" t="s">
        <v>281</v>
      </c>
      <c r="N22" s="108"/>
      <c r="O22" s="108" t="s">
        <v>282</v>
      </c>
      <c r="P22" s="108"/>
      <c r="Q22" s="91"/>
      <c r="R22" s="91"/>
      <c r="S22" s="91"/>
      <c r="T22" s="109"/>
      <c r="U22" s="109"/>
      <c r="V22" s="128"/>
      <c r="W22" s="129"/>
    </row>
    <row r="23" spans="1:23" ht="57.6" x14ac:dyDescent="0.3">
      <c r="A23" s="113" t="s">
        <v>283</v>
      </c>
      <c r="B23" s="111">
        <v>11</v>
      </c>
      <c r="C23" s="114" t="s">
        <v>34</v>
      </c>
      <c r="D23" s="111">
        <v>2662</v>
      </c>
      <c r="E23" s="114" t="s">
        <v>241</v>
      </c>
      <c r="F23" s="112" t="s">
        <v>209</v>
      </c>
      <c r="G23" s="112" t="s">
        <v>201</v>
      </c>
      <c r="H23" s="112" t="s">
        <v>209</v>
      </c>
      <c r="I23" s="112" t="s">
        <v>209</v>
      </c>
      <c r="J23" s="114"/>
      <c r="K23" s="114" t="s">
        <v>209</v>
      </c>
      <c r="L23" s="114" t="s">
        <v>209</v>
      </c>
      <c r="M23" s="112" t="s">
        <v>209</v>
      </c>
      <c r="N23" s="111">
        <v>0</v>
      </c>
      <c r="O23" s="111">
        <v>0</v>
      </c>
      <c r="P23" s="111">
        <v>0</v>
      </c>
      <c r="Q23" s="92"/>
      <c r="R23" s="92" t="s">
        <v>209</v>
      </c>
      <c r="S23" s="92" t="s">
        <v>78</v>
      </c>
      <c r="T23" s="112" t="s">
        <v>209</v>
      </c>
      <c r="U23" s="112" t="s">
        <v>209</v>
      </c>
      <c r="V23" s="131" t="s">
        <v>284</v>
      </c>
      <c r="W23" s="132">
        <v>1</v>
      </c>
    </row>
    <row r="24" spans="1:23" ht="72" x14ac:dyDescent="0.3">
      <c r="A24" s="115" t="s">
        <v>250</v>
      </c>
      <c r="B24" s="108">
        <v>11</v>
      </c>
      <c r="C24" s="116" t="s">
        <v>35</v>
      </c>
      <c r="D24" s="108">
        <v>7425</v>
      </c>
      <c r="E24" s="116" t="s">
        <v>241</v>
      </c>
      <c r="F24" s="109" t="s">
        <v>209</v>
      </c>
      <c r="G24" s="109" t="s">
        <v>201</v>
      </c>
      <c r="H24" s="109" t="s">
        <v>201</v>
      </c>
      <c r="I24" s="109" t="s">
        <v>201</v>
      </c>
      <c r="J24" s="116"/>
      <c r="K24" s="116" t="s">
        <v>209</v>
      </c>
      <c r="L24" s="116" t="s">
        <v>209</v>
      </c>
      <c r="M24" s="109" t="s">
        <v>201</v>
      </c>
      <c r="N24" s="108">
        <v>0</v>
      </c>
      <c r="O24" s="108">
        <v>0</v>
      </c>
      <c r="P24" s="108">
        <v>30</v>
      </c>
      <c r="Q24" s="91">
        <v>43</v>
      </c>
      <c r="R24" s="91" t="s">
        <v>201</v>
      </c>
      <c r="S24" s="91" t="s">
        <v>78</v>
      </c>
      <c r="T24" s="109" t="s">
        <v>209</v>
      </c>
      <c r="U24" s="109" t="s">
        <v>209</v>
      </c>
      <c r="V24" s="128" t="s">
        <v>285</v>
      </c>
      <c r="W24" s="129">
        <v>3</v>
      </c>
    </row>
    <row r="25" spans="1:23" x14ac:dyDescent="0.3">
      <c r="A25" s="113" t="s">
        <v>280</v>
      </c>
      <c r="B25" s="92">
        <v>12</v>
      </c>
      <c r="C25" s="114" t="s">
        <v>34</v>
      </c>
      <c r="D25" s="111">
        <v>10114</v>
      </c>
      <c r="E25" s="114" t="s">
        <v>241</v>
      </c>
      <c r="F25" s="92" t="s">
        <v>209</v>
      </c>
      <c r="G25" s="92" t="s">
        <v>201</v>
      </c>
      <c r="H25" s="92" t="s">
        <v>201</v>
      </c>
      <c r="I25" s="92" t="s">
        <v>201</v>
      </c>
      <c r="J25" s="92" t="s">
        <v>77</v>
      </c>
      <c r="K25" s="92" t="s">
        <v>201</v>
      </c>
      <c r="L25" s="92" t="s">
        <v>209</v>
      </c>
      <c r="M25" s="92" t="s">
        <v>209</v>
      </c>
      <c r="N25" s="92">
        <v>10</v>
      </c>
      <c r="O25" s="92">
        <v>15</v>
      </c>
      <c r="P25" s="92">
        <v>10</v>
      </c>
      <c r="Q25" s="92">
        <v>50</v>
      </c>
      <c r="R25" s="92" t="s">
        <v>209</v>
      </c>
      <c r="S25" s="92" t="s">
        <v>77</v>
      </c>
      <c r="T25" s="138" t="s">
        <v>209</v>
      </c>
      <c r="U25" s="92" t="s">
        <v>209</v>
      </c>
      <c r="V25" s="131"/>
      <c r="W25" s="132">
        <v>3</v>
      </c>
    </row>
    <row r="26" spans="1:23" ht="57.6" x14ac:dyDescent="0.3">
      <c r="A26" s="115" t="s">
        <v>250</v>
      </c>
      <c r="B26" s="91">
        <v>12</v>
      </c>
      <c r="C26" s="116" t="s">
        <v>35</v>
      </c>
      <c r="D26" s="108">
        <v>3224</v>
      </c>
      <c r="E26" s="116" t="s">
        <v>235</v>
      </c>
      <c r="F26" s="91" t="s">
        <v>209</v>
      </c>
      <c r="G26" s="91" t="s">
        <v>209</v>
      </c>
      <c r="H26" s="91" t="s">
        <v>209</v>
      </c>
      <c r="I26" s="91" t="s">
        <v>209</v>
      </c>
      <c r="J26" s="91"/>
      <c r="K26" s="91" t="s">
        <v>201</v>
      </c>
      <c r="L26" s="91" t="s">
        <v>209</v>
      </c>
      <c r="M26" s="91" t="s">
        <v>209</v>
      </c>
      <c r="N26" s="91">
        <v>0</v>
      </c>
      <c r="O26" s="91">
        <v>15</v>
      </c>
      <c r="P26" s="91">
        <v>0</v>
      </c>
      <c r="Q26" s="91">
        <v>60</v>
      </c>
      <c r="R26" s="91" t="s">
        <v>209</v>
      </c>
      <c r="S26" s="91" t="s">
        <v>78</v>
      </c>
      <c r="T26" s="91" t="s">
        <v>209</v>
      </c>
      <c r="U26" s="91" t="s">
        <v>201</v>
      </c>
      <c r="V26" s="128" t="s">
        <v>286</v>
      </c>
      <c r="W26" s="129">
        <v>3</v>
      </c>
    </row>
    <row r="27" spans="1:23" ht="72" x14ac:dyDescent="0.3">
      <c r="A27" s="113" t="s">
        <v>250</v>
      </c>
      <c r="B27" s="92">
        <v>13</v>
      </c>
      <c r="C27" s="114" t="s">
        <v>30</v>
      </c>
      <c r="D27" s="111">
        <v>7333</v>
      </c>
      <c r="E27" s="114" t="s">
        <v>235</v>
      </c>
      <c r="F27" s="92" t="s">
        <v>209</v>
      </c>
      <c r="G27" s="92" t="s">
        <v>201</v>
      </c>
      <c r="H27" s="92" t="s">
        <v>201</v>
      </c>
      <c r="I27" s="92" t="s">
        <v>209</v>
      </c>
      <c r="J27" s="92" t="s">
        <v>78</v>
      </c>
      <c r="K27" s="92" t="s">
        <v>201</v>
      </c>
      <c r="L27" s="92" t="s">
        <v>201</v>
      </c>
      <c r="M27" s="92" t="s">
        <v>209</v>
      </c>
      <c r="N27" s="92">
        <v>0</v>
      </c>
      <c r="O27" s="92">
        <v>0</v>
      </c>
      <c r="P27" s="92">
        <v>40</v>
      </c>
      <c r="Q27" s="92">
        <v>55</v>
      </c>
      <c r="R27" s="92" t="s">
        <v>209</v>
      </c>
      <c r="S27" s="92" t="s">
        <v>78</v>
      </c>
      <c r="T27" s="92" t="s">
        <v>209</v>
      </c>
      <c r="U27" s="92" t="s">
        <v>209</v>
      </c>
      <c r="V27" s="131" t="s">
        <v>287</v>
      </c>
      <c r="W27" s="132">
        <v>5</v>
      </c>
    </row>
    <row r="28" spans="1:23" ht="72" x14ac:dyDescent="0.3">
      <c r="A28" s="115" t="s">
        <v>218</v>
      </c>
      <c r="B28" s="91">
        <v>13</v>
      </c>
      <c r="C28" s="116" t="s">
        <v>33</v>
      </c>
      <c r="D28" s="108">
        <v>7333</v>
      </c>
      <c r="E28" s="91" t="s">
        <v>239</v>
      </c>
      <c r="F28" s="91" t="s">
        <v>209</v>
      </c>
      <c r="G28" s="91" t="s">
        <v>201</v>
      </c>
      <c r="H28" s="91" t="s">
        <v>201</v>
      </c>
      <c r="I28" s="91" t="s">
        <v>209</v>
      </c>
      <c r="J28" s="91" t="s">
        <v>78</v>
      </c>
      <c r="K28" s="91" t="s">
        <v>201</v>
      </c>
      <c r="L28" s="91" t="s">
        <v>209</v>
      </c>
      <c r="M28" s="91" t="s">
        <v>209</v>
      </c>
      <c r="N28" s="91">
        <v>0</v>
      </c>
      <c r="O28" s="91">
        <v>0</v>
      </c>
      <c r="P28" s="91">
        <v>25</v>
      </c>
      <c r="Q28" s="91">
        <v>69</v>
      </c>
      <c r="R28" s="91" t="s">
        <v>209</v>
      </c>
      <c r="S28" s="91" t="s">
        <v>78</v>
      </c>
      <c r="T28" s="91" t="s">
        <v>209</v>
      </c>
      <c r="U28" s="91" t="s">
        <v>209</v>
      </c>
      <c r="V28" s="128" t="s">
        <v>288</v>
      </c>
      <c r="W28" s="129">
        <v>4</v>
      </c>
    </row>
    <row r="29" spans="1:23" ht="144" x14ac:dyDescent="0.3">
      <c r="A29" s="113" t="s">
        <v>192</v>
      </c>
      <c r="B29" s="92">
        <v>12</v>
      </c>
      <c r="C29" s="114" t="s">
        <v>33</v>
      </c>
      <c r="D29" s="92">
        <v>1410</v>
      </c>
      <c r="E29" s="114" t="s">
        <v>239</v>
      </c>
      <c r="F29" s="92" t="s">
        <v>209</v>
      </c>
      <c r="G29" s="92" t="s">
        <v>201</v>
      </c>
      <c r="H29" s="92" t="s">
        <v>209</v>
      </c>
      <c r="I29" s="92" t="s">
        <v>209</v>
      </c>
      <c r="J29" s="92" t="s">
        <v>236</v>
      </c>
      <c r="K29" s="92" t="s">
        <v>201</v>
      </c>
      <c r="L29" s="92" t="s">
        <v>209</v>
      </c>
      <c r="M29" s="92" t="s">
        <v>209</v>
      </c>
      <c r="N29" s="92">
        <v>0</v>
      </c>
      <c r="O29" s="92">
        <v>0</v>
      </c>
      <c r="P29" s="92">
        <v>0</v>
      </c>
      <c r="Q29" s="92">
        <v>100</v>
      </c>
      <c r="R29" s="92" t="s">
        <v>209</v>
      </c>
      <c r="S29" s="141" t="s">
        <v>78</v>
      </c>
      <c r="T29" s="92" t="s">
        <v>209</v>
      </c>
      <c r="U29" s="92" t="s">
        <v>209</v>
      </c>
      <c r="V29" s="131" t="s">
        <v>289</v>
      </c>
      <c r="W29" s="132">
        <v>5</v>
      </c>
    </row>
    <row r="30" spans="1:23" ht="100.8" x14ac:dyDescent="0.3">
      <c r="A30" s="115" t="s">
        <v>250</v>
      </c>
      <c r="B30" s="91">
        <v>14</v>
      </c>
      <c r="C30" s="116" t="s">
        <v>35</v>
      </c>
      <c r="D30" s="91">
        <v>5933</v>
      </c>
      <c r="E30" s="116" t="s">
        <v>241</v>
      </c>
      <c r="F30" s="91" t="s">
        <v>209</v>
      </c>
      <c r="G30" s="91" t="s">
        <v>209</v>
      </c>
      <c r="H30" s="91" t="s">
        <v>209</v>
      </c>
      <c r="I30" s="91" t="s">
        <v>209</v>
      </c>
      <c r="J30" s="91" t="s">
        <v>78</v>
      </c>
      <c r="K30" s="91" t="s">
        <v>201</v>
      </c>
      <c r="L30" s="91" t="s">
        <v>201</v>
      </c>
      <c r="M30" s="91" t="s">
        <v>209</v>
      </c>
      <c r="N30" s="91">
        <v>0</v>
      </c>
      <c r="O30" s="91">
        <v>0</v>
      </c>
      <c r="P30" s="91">
        <v>15</v>
      </c>
      <c r="Q30" s="142">
        <v>34</v>
      </c>
      <c r="R30" s="91" t="s">
        <v>209</v>
      </c>
      <c r="S30" s="91" t="s">
        <v>78</v>
      </c>
      <c r="T30" s="91" t="s">
        <v>209</v>
      </c>
      <c r="U30" s="91" t="s">
        <v>201</v>
      </c>
      <c r="V30" s="128" t="s">
        <v>290</v>
      </c>
      <c r="W30" s="129">
        <v>2</v>
      </c>
    </row>
    <row r="31" spans="1:23" ht="57.6" x14ac:dyDescent="0.3">
      <c r="A31" s="113" t="s">
        <v>250</v>
      </c>
      <c r="B31" s="92">
        <v>15</v>
      </c>
      <c r="C31" s="114" t="s">
        <v>35</v>
      </c>
      <c r="D31" s="92">
        <v>7425</v>
      </c>
      <c r="E31" s="114" t="s">
        <v>241</v>
      </c>
      <c r="F31" s="92" t="s">
        <v>209</v>
      </c>
      <c r="G31" s="92" t="s">
        <v>201</v>
      </c>
      <c r="H31" s="92" t="s">
        <v>201</v>
      </c>
      <c r="I31" s="92" t="s">
        <v>209</v>
      </c>
      <c r="J31" s="92" t="s">
        <v>78</v>
      </c>
      <c r="K31" s="92" t="s">
        <v>201</v>
      </c>
      <c r="L31" s="92" t="s">
        <v>201</v>
      </c>
      <c r="M31" s="92" t="s">
        <v>201</v>
      </c>
      <c r="N31" s="92">
        <v>0</v>
      </c>
      <c r="O31" s="92">
        <v>3</v>
      </c>
      <c r="P31" s="92">
        <v>20</v>
      </c>
      <c r="Q31" s="143">
        <v>48</v>
      </c>
      <c r="R31" s="92" t="s">
        <v>209</v>
      </c>
      <c r="S31" s="92" t="s">
        <v>78</v>
      </c>
      <c r="T31" s="92" t="s">
        <v>209</v>
      </c>
      <c r="U31" s="92" t="s">
        <v>209</v>
      </c>
      <c r="V31" s="131" t="s">
        <v>294</v>
      </c>
      <c r="W31" s="132">
        <v>5</v>
      </c>
    </row>
    <row r="32" spans="1:23" ht="43.2" x14ac:dyDescent="0.3">
      <c r="A32" s="115" t="s">
        <v>250</v>
      </c>
      <c r="B32" s="91">
        <v>17</v>
      </c>
      <c r="C32" s="116" t="s">
        <v>35</v>
      </c>
      <c r="D32" s="91">
        <v>9501</v>
      </c>
      <c r="E32" s="116" t="s">
        <v>235</v>
      </c>
      <c r="F32" s="91" t="s">
        <v>209</v>
      </c>
      <c r="G32" s="91" t="s">
        <v>209</v>
      </c>
      <c r="H32" s="91" t="s">
        <v>201</v>
      </c>
      <c r="I32" s="91" t="s">
        <v>201</v>
      </c>
      <c r="J32" s="91"/>
      <c r="K32" s="91" t="s">
        <v>201</v>
      </c>
      <c r="L32" s="91" t="s">
        <v>201</v>
      </c>
      <c r="M32" s="91" t="s">
        <v>209</v>
      </c>
      <c r="N32" s="91">
        <v>0</v>
      </c>
      <c r="O32" s="91">
        <v>0</v>
      </c>
      <c r="P32" s="91">
        <v>50</v>
      </c>
      <c r="Q32" s="142">
        <v>83</v>
      </c>
      <c r="R32" s="91" t="s">
        <v>209</v>
      </c>
      <c r="S32" s="91" t="s">
        <v>78</v>
      </c>
      <c r="T32" s="91" t="s">
        <v>209</v>
      </c>
      <c r="U32" s="91" t="s">
        <v>209</v>
      </c>
      <c r="V32" s="128" t="s">
        <v>295</v>
      </c>
      <c r="W32" s="129">
        <v>5</v>
      </c>
    </row>
    <row r="33" spans="1:23" ht="100.8" x14ac:dyDescent="0.3">
      <c r="A33" s="113" t="s">
        <v>256</v>
      </c>
      <c r="B33" s="92">
        <v>17</v>
      </c>
      <c r="C33" s="114" t="s">
        <v>34</v>
      </c>
      <c r="D33" s="92">
        <v>10114</v>
      </c>
      <c r="E33" s="114" t="s">
        <v>241</v>
      </c>
      <c r="F33" s="92" t="s">
        <v>209</v>
      </c>
      <c r="G33" s="92" t="s">
        <v>201</v>
      </c>
      <c r="H33" s="92" t="s">
        <v>201</v>
      </c>
      <c r="I33" s="92" t="s">
        <v>201</v>
      </c>
      <c r="J33" s="92" t="s">
        <v>15</v>
      </c>
      <c r="K33" s="92" t="s">
        <v>201</v>
      </c>
      <c r="L33" s="92" t="s">
        <v>209</v>
      </c>
      <c r="M33" s="92" t="s">
        <v>209</v>
      </c>
      <c r="N33" s="92">
        <v>2</v>
      </c>
      <c r="O33" s="92">
        <v>0</v>
      </c>
      <c r="P33" s="92">
        <v>30</v>
      </c>
      <c r="Q33" s="143">
        <v>71</v>
      </c>
      <c r="R33" s="92" t="s">
        <v>209</v>
      </c>
      <c r="S33" s="92">
        <v>1</v>
      </c>
      <c r="T33" s="92" t="s">
        <v>209</v>
      </c>
      <c r="U33" s="92" t="s">
        <v>209</v>
      </c>
      <c r="V33" s="131" t="s">
        <v>296</v>
      </c>
      <c r="W33" s="132">
        <v>3</v>
      </c>
    </row>
    <row r="34" spans="1:23" x14ac:dyDescent="0.3">
      <c r="A34" s="115" t="s">
        <v>253</v>
      </c>
      <c r="B34" s="91">
        <v>18</v>
      </c>
      <c r="C34" s="116" t="s">
        <v>30</v>
      </c>
      <c r="D34" s="91">
        <v>3019</v>
      </c>
      <c r="E34" s="116" t="s">
        <v>235</v>
      </c>
      <c r="F34" s="91" t="s">
        <v>209</v>
      </c>
      <c r="G34" s="91" t="s">
        <v>201</v>
      </c>
      <c r="H34" s="91" t="s">
        <v>209</v>
      </c>
      <c r="I34" s="91" t="s">
        <v>209</v>
      </c>
      <c r="J34" s="91" t="s">
        <v>78</v>
      </c>
      <c r="K34" s="91" t="s">
        <v>201</v>
      </c>
      <c r="L34" s="91" t="s">
        <v>201</v>
      </c>
      <c r="M34" s="91" t="s">
        <v>209</v>
      </c>
      <c r="N34" s="91">
        <v>0</v>
      </c>
      <c r="O34" s="91">
        <v>0</v>
      </c>
      <c r="P34" s="91">
        <v>10</v>
      </c>
      <c r="Q34" s="142">
        <v>50</v>
      </c>
      <c r="R34" s="91" t="s">
        <v>209</v>
      </c>
      <c r="S34" s="91" t="s">
        <v>78</v>
      </c>
      <c r="T34" s="91" t="s">
        <v>209</v>
      </c>
      <c r="U34" s="91" t="s">
        <v>209</v>
      </c>
      <c r="V34" s="128"/>
      <c r="W34" s="129">
        <v>3</v>
      </c>
    </row>
    <row r="35" spans="1:23" ht="28.8" x14ac:dyDescent="0.3">
      <c r="A35" s="113" t="s">
        <v>256</v>
      </c>
      <c r="B35" s="92">
        <v>1</v>
      </c>
      <c r="C35" s="114" t="s">
        <v>34</v>
      </c>
      <c r="D35" s="92">
        <v>987</v>
      </c>
      <c r="E35" s="114" t="s">
        <v>235</v>
      </c>
      <c r="F35" s="92" t="s">
        <v>209</v>
      </c>
      <c r="G35" s="92" t="s">
        <v>209</v>
      </c>
      <c r="H35" s="92" t="s">
        <v>201</v>
      </c>
      <c r="I35" s="92" t="s">
        <v>201</v>
      </c>
      <c r="J35" s="92" t="s">
        <v>236</v>
      </c>
      <c r="K35" s="92" t="s">
        <v>209</v>
      </c>
      <c r="L35" s="92" t="s">
        <v>209</v>
      </c>
      <c r="M35" s="92" t="s">
        <v>209</v>
      </c>
      <c r="N35" s="92">
        <v>0</v>
      </c>
      <c r="O35" s="92">
        <v>0</v>
      </c>
      <c r="P35" s="92">
        <v>120</v>
      </c>
      <c r="Q35" s="143">
        <v>30</v>
      </c>
      <c r="R35" s="92" t="s">
        <v>209</v>
      </c>
      <c r="S35" s="92" t="s">
        <v>78</v>
      </c>
      <c r="T35" s="92" t="s">
        <v>209</v>
      </c>
      <c r="U35" s="92" t="s">
        <v>209</v>
      </c>
      <c r="V35" s="131" t="s">
        <v>297</v>
      </c>
      <c r="W35" s="132">
        <v>5</v>
      </c>
    </row>
    <row r="36" spans="1:23" ht="28.8" x14ac:dyDescent="0.3">
      <c r="A36" s="115" t="s">
        <v>250</v>
      </c>
      <c r="B36" s="91">
        <v>18</v>
      </c>
      <c r="C36" s="116" t="s">
        <v>35</v>
      </c>
      <c r="D36" s="91">
        <v>9059</v>
      </c>
      <c r="E36" s="116" t="s">
        <v>241</v>
      </c>
      <c r="F36" s="91" t="s">
        <v>209</v>
      </c>
      <c r="G36" s="91" t="s">
        <v>201</v>
      </c>
      <c r="H36" s="91" t="s">
        <v>209</v>
      </c>
      <c r="I36" s="91" t="s">
        <v>209</v>
      </c>
      <c r="J36" s="91" t="s">
        <v>78</v>
      </c>
      <c r="K36" s="91" t="s">
        <v>201</v>
      </c>
      <c r="L36" s="91" t="s">
        <v>209</v>
      </c>
      <c r="M36" s="91" t="s">
        <v>209</v>
      </c>
      <c r="N36" s="91">
        <v>11</v>
      </c>
      <c r="O36" s="91">
        <v>0</v>
      </c>
      <c r="P36" s="91">
        <v>5</v>
      </c>
      <c r="Q36" s="142">
        <v>4</v>
      </c>
      <c r="R36" s="91" t="s">
        <v>209</v>
      </c>
      <c r="S36" s="91" t="s">
        <v>78</v>
      </c>
      <c r="T36" s="91" t="s">
        <v>209</v>
      </c>
      <c r="U36" s="91" t="s">
        <v>209</v>
      </c>
      <c r="V36" s="128" t="s">
        <v>298</v>
      </c>
      <c r="W36" s="129">
        <v>2</v>
      </c>
    </row>
    <row r="37" spans="1:23" x14ac:dyDescent="0.3">
      <c r="A37" s="119" t="s">
        <v>234</v>
      </c>
      <c r="B37">
        <v>17</v>
      </c>
      <c r="C37" s="104" t="s">
        <v>33</v>
      </c>
      <c r="D37">
        <v>1212</v>
      </c>
      <c r="E37" s="104" t="s">
        <v>235</v>
      </c>
      <c r="F37" t="s">
        <v>209</v>
      </c>
      <c r="G37" s="104" t="s">
        <v>201</v>
      </c>
      <c r="H37" t="s">
        <v>201</v>
      </c>
      <c r="I37" s="104" t="s">
        <v>209</v>
      </c>
      <c r="J37" t="s">
        <v>236</v>
      </c>
      <c r="K37" s="104" t="s">
        <v>201</v>
      </c>
      <c r="L37" t="s">
        <v>209</v>
      </c>
      <c r="M37" s="104" t="s">
        <v>209</v>
      </c>
      <c r="N37">
        <v>7</v>
      </c>
      <c r="O37">
        <v>3</v>
      </c>
      <c r="P37">
        <v>10</v>
      </c>
      <c r="Q37" s="120">
        <v>1</v>
      </c>
      <c r="R37" t="s">
        <v>209</v>
      </c>
      <c r="S37" t="s">
        <v>77</v>
      </c>
      <c r="T37" t="s">
        <v>209</v>
      </c>
      <c r="U37" t="s">
        <v>209</v>
      </c>
      <c r="V37" t="s">
        <v>344</v>
      </c>
      <c r="W37" s="121">
        <v>3</v>
      </c>
    </row>
    <row r="38" spans="1:23" x14ac:dyDescent="0.3">
      <c r="A38" s="122" t="s">
        <v>234</v>
      </c>
      <c r="B38" s="123">
        <v>18</v>
      </c>
      <c r="C38" s="124" t="s">
        <v>33</v>
      </c>
      <c r="D38" s="123">
        <v>2486</v>
      </c>
      <c r="E38" s="124" t="s">
        <v>239</v>
      </c>
      <c r="F38" s="123" t="s">
        <v>209</v>
      </c>
      <c r="G38" s="124" t="s">
        <v>209</v>
      </c>
      <c r="H38" s="123" t="s">
        <v>201</v>
      </c>
      <c r="I38" s="124" t="s">
        <v>201</v>
      </c>
      <c r="J38" s="123" t="s">
        <v>236</v>
      </c>
      <c r="K38" s="124" t="s">
        <v>201</v>
      </c>
      <c r="L38" s="123" t="s">
        <v>209</v>
      </c>
      <c r="M38" s="124" t="s">
        <v>209</v>
      </c>
      <c r="N38" s="123">
        <v>0</v>
      </c>
      <c r="O38" s="123">
        <v>0</v>
      </c>
      <c r="P38" s="123">
        <v>65</v>
      </c>
      <c r="Q38" s="125">
        <v>45</v>
      </c>
      <c r="R38" s="123" t="s">
        <v>201</v>
      </c>
      <c r="S38" s="123" t="s">
        <v>78</v>
      </c>
      <c r="T38" s="123" t="s">
        <v>209</v>
      </c>
      <c r="U38" s="123" t="s">
        <v>209</v>
      </c>
      <c r="W38" s="126">
        <v>4</v>
      </c>
    </row>
    <row r="39" spans="1:23" x14ac:dyDescent="0.3">
      <c r="A39" s="119" t="s">
        <v>234</v>
      </c>
      <c r="B39">
        <v>19</v>
      </c>
      <c r="C39" s="104" t="s">
        <v>33</v>
      </c>
      <c r="D39">
        <v>7333</v>
      </c>
      <c r="E39" s="104" t="s">
        <v>239</v>
      </c>
      <c r="F39" t="s">
        <v>209</v>
      </c>
      <c r="G39" s="104" t="s">
        <v>201</v>
      </c>
      <c r="H39" t="s">
        <v>201</v>
      </c>
      <c r="I39" s="104" t="s">
        <v>201</v>
      </c>
      <c r="J39" t="s">
        <v>236</v>
      </c>
      <c r="K39" s="104" t="s">
        <v>201</v>
      </c>
      <c r="L39" t="s">
        <v>209</v>
      </c>
      <c r="M39" s="104" t="s">
        <v>209</v>
      </c>
      <c r="N39">
        <v>0</v>
      </c>
      <c r="O39">
        <v>3</v>
      </c>
      <c r="P39">
        <v>0</v>
      </c>
      <c r="Q39" s="120">
        <v>100</v>
      </c>
      <c r="R39" t="s">
        <v>209</v>
      </c>
      <c r="S39" t="s">
        <v>78</v>
      </c>
      <c r="T39" t="s">
        <v>209</v>
      </c>
      <c r="U39" t="s">
        <v>209</v>
      </c>
      <c r="W39" s="121">
        <v>4</v>
      </c>
    </row>
    <row r="40" spans="1:23" x14ac:dyDescent="0.3">
      <c r="A40" s="122" t="s">
        <v>234</v>
      </c>
      <c r="B40" s="123">
        <v>20</v>
      </c>
      <c r="C40" s="124" t="s">
        <v>33</v>
      </c>
      <c r="D40" s="123">
        <v>11176</v>
      </c>
      <c r="E40" s="124" t="s">
        <v>239</v>
      </c>
      <c r="F40" s="123" t="s">
        <v>209</v>
      </c>
      <c r="G40" s="124" t="s">
        <v>201</v>
      </c>
      <c r="H40" s="123" t="s">
        <v>209</v>
      </c>
      <c r="I40" s="124" t="s">
        <v>209</v>
      </c>
      <c r="J40" s="123" t="s">
        <v>236</v>
      </c>
      <c r="K40" s="124" t="s">
        <v>201</v>
      </c>
      <c r="L40" s="123" t="s">
        <v>209</v>
      </c>
      <c r="M40" s="124" t="s">
        <v>209</v>
      </c>
      <c r="N40" s="123">
        <v>12</v>
      </c>
      <c r="O40" s="123">
        <v>9</v>
      </c>
      <c r="P40" s="123">
        <v>0</v>
      </c>
      <c r="Q40" s="125">
        <v>54</v>
      </c>
      <c r="R40" s="123" t="s">
        <v>209</v>
      </c>
      <c r="S40" s="123" t="s">
        <v>78</v>
      </c>
      <c r="T40" s="123" t="s">
        <v>209</v>
      </c>
      <c r="U40" s="123" t="s">
        <v>209</v>
      </c>
      <c r="W40" s="126">
        <v>3</v>
      </c>
    </row>
    <row r="41" spans="1:23" x14ac:dyDescent="0.3">
      <c r="A41" s="119" t="s">
        <v>234</v>
      </c>
      <c r="B41">
        <v>21</v>
      </c>
      <c r="C41" s="104" t="s">
        <v>33</v>
      </c>
      <c r="D41">
        <v>2662</v>
      </c>
      <c r="E41" s="104" t="s">
        <v>239</v>
      </c>
      <c r="F41" t="s">
        <v>209</v>
      </c>
      <c r="G41" s="104" t="s">
        <v>209</v>
      </c>
      <c r="H41" t="s">
        <v>209</v>
      </c>
      <c r="I41" s="104" t="s">
        <v>209</v>
      </c>
      <c r="J41" t="s">
        <v>236</v>
      </c>
      <c r="K41" s="104" t="s">
        <v>201</v>
      </c>
      <c r="L41" t="s">
        <v>209</v>
      </c>
      <c r="M41" s="104" t="s">
        <v>209</v>
      </c>
      <c r="N41">
        <v>2</v>
      </c>
      <c r="O41">
        <v>0</v>
      </c>
      <c r="P41">
        <v>0</v>
      </c>
      <c r="Q41" s="120">
        <v>1</v>
      </c>
      <c r="R41" t="s">
        <v>209</v>
      </c>
      <c r="S41" t="s">
        <v>78</v>
      </c>
      <c r="T41" t="s">
        <v>209</v>
      </c>
      <c r="U41" t="s">
        <v>209</v>
      </c>
      <c r="W41" s="121">
        <v>2</v>
      </c>
    </row>
  </sheetData>
  <mergeCells count="1">
    <mergeCell ref="Y1:Z1"/>
  </mergeCells>
  <pageMargins left="0.7" right="0.7" top="0.75" bottom="0.75" header="0.3" footer="0.3"/>
  <ignoredErrors>
    <ignoredError sqref="N1:P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7571F-08D8-46C5-A8EE-B63F9D592815}">
  <dimension ref="A1:V76"/>
  <sheetViews>
    <sheetView zoomScale="56" zoomScaleNormal="55" workbookViewId="0">
      <pane ySplit="1" topLeftCell="A2" activePane="bottomLeft" state="frozen"/>
      <selection pane="bottomLeft" activeCell="T2" sqref="T2"/>
    </sheetView>
  </sheetViews>
  <sheetFormatPr defaultRowHeight="14.4" x14ac:dyDescent="0.3"/>
  <cols>
    <col min="1" max="1" width="13.6640625" customWidth="1"/>
    <col min="2" max="2" width="18.77734375" bestFit="1" customWidth="1"/>
    <col min="3" max="3" width="16.44140625" customWidth="1"/>
    <col min="4" max="4" width="14.44140625" bestFit="1" customWidth="1"/>
    <col min="5" max="5" width="17.21875" bestFit="1" customWidth="1"/>
    <col min="6" max="6" width="20.21875" bestFit="1" customWidth="1"/>
    <col min="7" max="7" width="15.44140625" customWidth="1"/>
    <col min="8" max="8" width="12.6640625" customWidth="1"/>
    <col min="9" max="9" width="19.5546875" bestFit="1" customWidth="1"/>
    <col min="10" max="10" width="29.21875" bestFit="1" customWidth="1"/>
    <col min="11" max="11" width="9.5546875" customWidth="1"/>
    <col min="12" max="12" width="23" bestFit="1" customWidth="1"/>
    <col min="13" max="13" width="17" customWidth="1"/>
    <col min="14" max="14" width="13.6640625" customWidth="1"/>
    <col min="15" max="15" width="16" bestFit="1" customWidth="1"/>
    <col min="16" max="16" width="19.5546875" bestFit="1" customWidth="1"/>
    <col min="17" max="17" width="13" bestFit="1" customWidth="1"/>
    <col min="18" max="18" width="16" bestFit="1" customWidth="1"/>
    <col min="19" max="19" width="28.33203125" bestFit="1" customWidth="1"/>
    <col min="20" max="20" width="66.6640625" customWidth="1"/>
    <col min="21" max="21" width="12.21875" bestFit="1" customWidth="1"/>
  </cols>
  <sheetData>
    <row r="1" spans="1:22" x14ac:dyDescent="0.3">
      <c r="A1" s="17" t="s">
        <v>44</v>
      </c>
      <c r="B1" s="18" t="s">
        <v>45</v>
      </c>
      <c r="C1" s="18" t="s">
        <v>71</v>
      </c>
      <c r="D1" s="19" t="s">
        <v>46</v>
      </c>
      <c r="E1" s="19" t="s">
        <v>47</v>
      </c>
      <c r="F1" s="19" t="s">
        <v>164</v>
      </c>
      <c r="G1" s="19" t="s">
        <v>49</v>
      </c>
      <c r="H1" s="19" t="s">
        <v>50</v>
      </c>
      <c r="I1" s="20" t="s">
        <v>165</v>
      </c>
      <c r="J1" s="20" t="s">
        <v>51</v>
      </c>
      <c r="K1" s="20" t="s">
        <v>52</v>
      </c>
      <c r="L1" s="20" t="s">
        <v>53</v>
      </c>
      <c r="M1" s="20" t="s">
        <v>151</v>
      </c>
      <c r="N1" s="20" t="s">
        <v>55</v>
      </c>
      <c r="O1" s="20" t="s">
        <v>166</v>
      </c>
      <c r="P1" s="20" t="s">
        <v>153</v>
      </c>
      <c r="Q1" s="20" t="s">
        <v>154</v>
      </c>
      <c r="R1" s="20" t="s">
        <v>167</v>
      </c>
      <c r="S1" s="20" t="s">
        <v>161</v>
      </c>
      <c r="T1" s="166" t="s">
        <v>156</v>
      </c>
      <c r="U1" s="167"/>
      <c r="V1" t="s">
        <v>394</v>
      </c>
    </row>
    <row r="2" spans="1:22" ht="276" customHeight="1" x14ac:dyDescent="0.3">
      <c r="A2" s="10" t="s">
        <v>192</v>
      </c>
      <c r="B2" s="8" t="s">
        <v>193</v>
      </c>
      <c r="C2" s="8">
        <v>4146</v>
      </c>
      <c r="D2" s="8" t="s">
        <v>194</v>
      </c>
      <c r="E2" s="8" t="s">
        <v>195</v>
      </c>
      <c r="F2" s="12" t="s">
        <v>196</v>
      </c>
      <c r="G2" s="50">
        <v>50</v>
      </c>
      <c r="H2" s="49" t="s">
        <v>197</v>
      </c>
      <c r="I2" s="49" t="s">
        <v>18</v>
      </c>
      <c r="J2" s="49" t="s">
        <v>198</v>
      </c>
      <c r="K2" s="49" t="s">
        <v>199</v>
      </c>
      <c r="L2" s="49" t="s">
        <v>200</v>
      </c>
      <c r="M2" s="12">
        <v>0</v>
      </c>
      <c r="N2" s="12" t="s">
        <v>201</v>
      </c>
      <c r="O2" s="12" t="s">
        <v>201</v>
      </c>
      <c r="P2" s="106" t="s">
        <v>201</v>
      </c>
      <c r="Q2" s="12" t="s">
        <v>201</v>
      </c>
      <c r="R2" s="12" t="s">
        <v>202</v>
      </c>
      <c r="S2" s="49"/>
      <c r="T2" s="51"/>
      <c r="U2" s="52">
        <f t="shared" ref="U2:U15" si="0">T2</f>
        <v>0</v>
      </c>
      <c r="V2" s="47" t="b">
        <v>1</v>
      </c>
    </row>
    <row r="3" spans="1:22" ht="225" customHeight="1" x14ac:dyDescent="0.3">
      <c r="A3" s="10" t="s">
        <v>192</v>
      </c>
      <c r="B3" s="8" t="s">
        <v>203</v>
      </c>
      <c r="C3" s="8">
        <v>9059</v>
      </c>
      <c r="D3" s="8">
        <v>115</v>
      </c>
      <c r="E3" s="8" t="s">
        <v>204</v>
      </c>
      <c r="F3" s="8" t="s">
        <v>227</v>
      </c>
      <c r="G3" s="8">
        <v>40</v>
      </c>
      <c r="H3" s="8" t="s">
        <v>197</v>
      </c>
      <c r="I3" s="9" t="s">
        <v>205</v>
      </c>
      <c r="J3" s="10" t="s">
        <v>206</v>
      </c>
      <c r="K3" s="8" t="s">
        <v>207</v>
      </c>
      <c r="L3" s="8" t="s">
        <v>208</v>
      </c>
      <c r="M3" s="8">
        <v>0</v>
      </c>
      <c r="N3" s="8" t="s">
        <v>201</v>
      </c>
      <c r="O3" s="8" t="s">
        <v>209</v>
      </c>
      <c r="P3" s="8" t="s">
        <v>201</v>
      </c>
      <c r="Q3" s="8" t="s">
        <v>201</v>
      </c>
      <c r="R3" s="9" t="s">
        <v>202</v>
      </c>
      <c r="S3" s="9" t="s">
        <v>210</v>
      </c>
      <c r="T3" s="8"/>
      <c r="U3" s="11">
        <f t="shared" si="0"/>
        <v>0</v>
      </c>
      <c r="V3" s="47" t="b">
        <v>1</v>
      </c>
    </row>
    <row r="4" spans="1:22" ht="225" customHeight="1" x14ac:dyDescent="0.3">
      <c r="A4" s="10" t="s">
        <v>192</v>
      </c>
      <c r="B4" s="8" t="s">
        <v>211</v>
      </c>
      <c r="C4" s="8">
        <v>3424</v>
      </c>
      <c r="D4" s="8">
        <v>95</v>
      </c>
      <c r="E4" s="8">
        <v>21</v>
      </c>
      <c r="F4" s="8" t="s">
        <v>212</v>
      </c>
      <c r="G4" s="8" t="s">
        <v>395</v>
      </c>
      <c r="H4" s="9" t="s">
        <v>197</v>
      </c>
      <c r="I4" s="9" t="s">
        <v>395</v>
      </c>
      <c r="J4" s="9" t="s">
        <v>214</v>
      </c>
      <c r="K4" s="9" t="s">
        <v>207</v>
      </c>
      <c r="L4" s="9" t="s">
        <v>215</v>
      </c>
      <c r="M4" s="8" t="s">
        <v>201</v>
      </c>
      <c r="N4" s="8" t="s">
        <v>201</v>
      </c>
      <c r="O4" s="8" t="s">
        <v>209</v>
      </c>
      <c r="P4" s="11" t="s">
        <v>209</v>
      </c>
      <c r="Q4" s="8" t="s">
        <v>216</v>
      </c>
      <c r="R4" s="8"/>
      <c r="S4" s="9" t="s">
        <v>217</v>
      </c>
      <c r="T4" s="53"/>
      <c r="U4" s="54">
        <f t="shared" si="0"/>
        <v>0</v>
      </c>
      <c r="V4" s="47" t="b">
        <v>1</v>
      </c>
    </row>
    <row r="5" spans="1:22" ht="225" customHeight="1" x14ac:dyDescent="0.3">
      <c r="A5" s="13" t="s">
        <v>218</v>
      </c>
      <c r="B5" s="14" t="s">
        <v>211</v>
      </c>
      <c r="C5" s="14">
        <v>3245</v>
      </c>
      <c r="D5" s="14">
        <v>110</v>
      </c>
      <c r="E5" s="14" t="s">
        <v>219</v>
      </c>
      <c r="F5" s="14">
        <v>26.26</v>
      </c>
      <c r="G5" s="8" t="s">
        <v>220</v>
      </c>
      <c r="H5" s="9" t="s">
        <v>197</v>
      </c>
      <c r="I5" s="9" t="s">
        <v>20</v>
      </c>
      <c r="J5" s="146" t="s">
        <v>260</v>
      </c>
      <c r="K5" s="9" t="s">
        <v>207</v>
      </c>
      <c r="L5" s="9" t="s">
        <v>221</v>
      </c>
      <c r="M5" s="8">
        <v>0</v>
      </c>
      <c r="N5" s="8" t="s">
        <v>201</v>
      </c>
      <c r="O5" s="8" t="s">
        <v>201</v>
      </c>
      <c r="P5" s="11" t="s">
        <v>209</v>
      </c>
      <c r="Q5" s="8" t="s">
        <v>201</v>
      </c>
      <c r="R5" s="8" t="s">
        <v>202</v>
      </c>
      <c r="S5" s="8" t="s">
        <v>222</v>
      </c>
      <c r="T5" s="8"/>
      <c r="U5" s="11">
        <f t="shared" si="0"/>
        <v>0</v>
      </c>
      <c r="V5" s="47" t="b">
        <v>1</v>
      </c>
    </row>
    <row r="6" spans="1:22" ht="225" customHeight="1" x14ac:dyDescent="0.3">
      <c r="A6" s="10" t="s">
        <v>218</v>
      </c>
      <c r="B6" s="8" t="s">
        <v>223</v>
      </c>
      <c r="C6" s="8">
        <v>7426</v>
      </c>
      <c r="D6" s="8">
        <v>112</v>
      </c>
      <c r="E6" s="8" t="s">
        <v>219</v>
      </c>
      <c r="F6" s="8">
        <v>27.27</v>
      </c>
      <c r="G6" s="8" t="s">
        <v>224</v>
      </c>
      <c r="H6" s="9" t="s">
        <v>197</v>
      </c>
      <c r="I6" s="9" t="s">
        <v>20</v>
      </c>
      <c r="J6" s="9" t="s">
        <v>232</v>
      </c>
      <c r="K6" s="8" t="s">
        <v>15</v>
      </c>
      <c r="L6" s="8" t="s">
        <v>225</v>
      </c>
      <c r="M6" s="8"/>
      <c r="N6" s="8" t="s">
        <v>201</v>
      </c>
      <c r="O6" s="8" t="s">
        <v>201</v>
      </c>
      <c r="P6" s="8" t="s">
        <v>209</v>
      </c>
      <c r="Q6" s="8" t="s">
        <v>201</v>
      </c>
      <c r="R6" s="9" t="s">
        <v>202</v>
      </c>
      <c r="S6" s="9" t="s">
        <v>226</v>
      </c>
      <c r="T6" s="53"/>
      <c r="U6" s="54">
        <f t="shared" si="0"/>
        <v>0</v>
      </c>
      <c r="V6" s="47" t="b">
        <v>1</v>
      </c>
    </row>
    <row r="7" spans="1:22" ht="225" customHeight="1" x14ac:dyDescent="0.3">
      <c r="A7" s="10" t="s">
        <v>218</v>
      </c>
      <c r="B7" s="8" t="s">
        <v>228</v>
      </c>
      <c r="C7" s="8">
        <v>2662</v>
      </c>
      <c r="D7" s="8">
        <v>79</v>
      </c>
      <c r="E7" s="8" t="s">
        <v>229</v>
      </c>
      <c r="F7" s="8">
        <v>25.28</v>
      </c>
      <c r="G7" s="8">
        <v>20</v>
      </c>
      <c r="H7" s="8" t="s">
        <v>197</v>
      </c>
      <c r="I7" s="9"/>
      <c r="J7" s="9" t="s">
        <v>230</v>
      </c>
      <c r="K7" s="9" t="s">
        <v>207</v>
      </c>
      <c r="L7" s="9"/>
      <c r="M7" s="8"/>
      <c r="N7" s="8" t="s">
        <v>201</v>
      </c>
      <c r="O7" s="11" t="s">
        <v>201</v>
      </c>
      <c r="P7" s="8" t="s">
        <v>209</v>
      </c>
      <c r="Q7" s="8" t="s">
        <v>209</v>
      </c>
      <c r="R7" s="8" t="s">
        <v>216</v>
      </c>
      <c r="S7" s="8" t="s">
        <v>231</v>
      </c>
      <c r="U7" s="11" t="e">
        <f>#REF!</f>
        <v>#REF!</v>
      </c>
      <c r="V7" s="47" t="b">
        <v>1</v>
      </c>
    </row>
    <row r="8" spans="1:22" ht="225" customHeight="1" x14ac:dyDescent="0.3">
      <c r="A8" s="10" t="s">
        <v>258</v>
      </c>
      <c r="B8" s="8" t="s">
        <v>259</v>
      </c>
      <c r="C8" s="8">
        <v>10114</v>
      </c>
      <c r="D8" s="8">
        <v>112</v>
      </c>
      <c r="E8" s="8" t="s">
        <v>260</v>
      </c>
      <c r="F8" s="8">
        <v>27.27</v>
      </c>
      <c r="G8" s="8">
        <v>20</v>
      </c>
      <c r="H8" s="9" t="s">
        <v>197</v>
      </c>
      <c r="I8" s="9"/>
      <c r="J8" s="9" t="s">
        <v>261</v>
      </c>
      <c r="K8" s="9" t="s">
        <v>15</v>
      </c>
      <c r="L8" s="9"/>
      <c r="M8" s="8">
        <v>7</v>
      </c>
      <c r="N8" s="8" t="s">
        <v>395</v>
      </c>
      <c r="O8" s="8" t="s">
        <v>395</v>
      </c>
      <c r="P8" s="8" t="s">
        <v>209</v>
      </c>
      <c r="Q8" s="8" t="s">
        <v>201</v>
      </c>
      <c r="R8" s="8" t="s">
        <v>201</v>
      </c>
      <c r="S8" s="8"/>
      <c r="T8" s="53"/>
      <c r="U8" s="54">
        <f t="shared" si="0"/>
        <v>0</v>
      </c>
      <c r="V8" s="47" t="b">
        <v>1</v>
      </c>
    </row>
    <row r="9" spans="1:22" ht="225" customHeight="1" x14ac:dyDescent="0.3">
      <c r="A9" s="10" t="s">
        <v>258</v>
      </c>
      <c r="B9" s="8" t="s">
        <v>263</v>
      </c>
      <c r="C9" s="8">
        <v>991</v>
      </c>
      <c r="D9" s="8">
        <v>109</v>
      </c>
      <c r="E9" s="8">
        <v>21</v>
      </c>
      <c r="F9" s="8">
        <v>30.52</v>
      </c>
      <c r="G9" s="8">
        <v>55</v>
      </c>
      <c r="H9" s="9" t="s">
        <v>197</v>
      </c>
      <c r="I9" s="9" t="s">
        <v>20</v>
      </c>
      <c r="J9" s="9" t="s">
        <v>264</v>
      </c>
      <c r="K9" s="9" t="s">
        <v>260</v>
      </c>
      <c r="L9" s="9" t="s">
        <v>265</v>
      </c>
      <c r="M9" s="8">
        <v>15</v>
      </c>
      <c r="N9" s="8" t="s">
        <v>201</v>
      </c>
      <c r="O9" s="8" t="s">
        <v>201</v>
      </c>
      <c r="P9" s="11" t="s">
        <v>201</v>
      </c>
      <c r="Q9" s="11" t="s">
        <v>201</v>
      </c>
      <c r="R9" s="8" t="s">
        <v>262</v>
      </c>
      <c r="S9" s="8"/>
      <c r="T9" s="8"/>
      <c r="U9" s="11">
        <f t="shared" si="0"/>
        <v>0</v>
      </c>
      <c r="V9" s="47" t="b">
        <v>1</v>
      </c>
    </row>
    <row r="10" spans="1:22" ht="225" customHeight="1" x14ac:dyDescent="0.3">
      <c r="A10" s="10" t="s">
        <v>258</v>
      </c>
      <c r="B10" s="8" t="s">
        <v>266</v>
      </c>
      <c r="C10" s="8">
        <v>6362</v>
      </c>
      <c r="D10" s="8">
        <v>114</v>
      </c>
      <c r="E10" s="8">
        <v>30</v>
      </c>
      <c r="F10" s="8">
        <v>30.25</v>
      </c>
      <c r="G10" s="8">
        <v>80</v>
      </c>
      <c r="H10" s="8" t="s">
        <v>197</v>
      </c>
      <c r="I10" s="9" t="s">
        <v>19</v>
      </c>
      <c r="J10" s="9" t="s">
        <v>267</v>
      </c>
      <c r="K10" s="9" t="s">
        <v>15</v>
      </c>
      <c r="L10" s="9" t="s">
        <v>268</v>
      </c>
      <c r="M10" s="8">
        <v>20</v>
      </c>
      <c r="N10" s="8" t="s">
        <v>201</v>
      </c>
      <c r="O10" s="8" t="s">
        <v>209</v>
      </c>
      <c r="P10" s="11" t="s">
        <v>201</v>
      </c>
      <c r="Q10" s="11" t="s">
        <v>201</v>
      </c>
      <c r="R10" s="8" t="s">
        <v>216</v>
      </c>
      <c r="S10" s="8"/>
      <c r="T10" s="53"/>
      <c r="U10" s="54">
        <f t="shared" si="0"/>
        <v>0</v>
      </c>
      <c r="V10" s="47" t="b">
        <v>1</v>
      </c>
    </row>
    <row r="11" spans="1:22" ht="225" customHeight="1" x14ac:dyDescent="0.3">
      <c r="A11" s="10" t="s">
        <v>258</v>
      </c>
      <c r="B11" s="8" t="s">
        <v>269</v>
      </c>
      <c r="C11" s="8">
        <v>10380</v>
      </c>
      <c r="D11" s="8">
        <v>107</v>
      </c>
      <c r="E11" s="8">
        <v>22</v>
      </c>
      <c r="F11" s="8">
        <v>27.27</v>
      </c>
      <c r="G11" s="8">
        <v>45</v>
      </c>
      <c r="H11" s="9" t="s">
        <v>197</v>
      </c>
      <c r="I11" s="9" t="s">
        <v>270</v>
      </c>
      <c r="J11" s="9" t="s">
        <v>271</v>
      </c>
      <c r="K11" s="9"/>
      <c r="L11" s="8"/>
      <c r="M11" s="9" t="s">
        <v>201</v>
      </c>
      <c r="N11" s="8" t="s">
        <v>209</v>
      </c>
      <c r="O11" s="8" t="s">
        <v>201</v>
      </c>
      <c r="P11" s="11" t="s">
        <v>201</v>
      </c>
      <c r="Q11" s="8" t="s">
        <v>209</v>
      </c>
      <c r="R11" s="8" t="s">
        <v>216</v>
      </c>
      <c r="S11" s="8" t="s">
        <v>272</v>
      </c>
      <c r="T11" s="8"/>
      <c r="U11" s="11">
        <f t="shared" si="0"/>
        <v>0</v>
      </c>
      <c r="V11" s="47" t="b">
        <v>1</v>
      </c>
    </row>
    <row r="12" spans="1:22" ht="225" customHeight="1" x14ac:dyDescent="0.3">
      <c r="A12" s="10" t="s">
        <v>258</v>
      </c>
      <c r="B12" s="8" t="s">
        <v>87</v>
      </c>
      <c r="C12" s="8">
        <v>698</v>
      </c>
      <c r="D12" s="8">
        <v>113</v>
      </c>
      <c r="E12" s="8">
        <v>30</v>
      </c>
      <c r="F12" s="8">
        <v>28.28</v>
      </c>
      <c r="G12" s="8">
        <v>30</v>
      </c>
      <c r="H12" s="8" t="s">
        <v>197</v>
      </c>
      <c r="I12" s="9" t="s">
        <v>19</v>
      </c>
      <c r="J12" s="9" t="s">
        <v>273</v>
      </c>
      <c r="K12" s="9" t="s">
        <v>260</v>
      </c>
      <c r="L12" s="9" t="s">
        <v>274</v>
      </c>
      <c r="M12" s="8">
        <v>23</v>
      </c>
      <c r="N12" s="8" t="s">
        <v>201</v>
      </c>
      <c r="O12" s="8" t="s">
        <v>201</v>
      </c>
      <c r="P12" s="11" t="s">
        <v>201</v>
      </c>
      <c r="Q12" s="11" t="s">
        <v>201</v>
      </c>
      <c r="R12" s="8" t="s">
        <v>216</v>
      </c>
      <c r="S12" s="8" t="s">
        <v>275</v>
      </c>
      <c r="T12" s="53"/>
      <c r="U12" s="54">
        <f t="shared" si="0"/>
        <v>0</v>
      </c>
      <c r="V12" s="47" t="b">
        <v>1</v>
      </c>
    </row>
    <row r="13" spans="1:22" ht="225" customHeight="1" x14ac:dyDescent="0.3">
      <c r="A13" s="10" t="s">
        <v>258</v>
      </c>
      <c r="B13" s="8" t="s">
        <v>291</v>
      </c>
      <c r="C13" s="8">
        <v>10988</v>
      </c>
      <c r="D13" s="8">
        <v>94</v>
      </c>
      <c r="E13" s="8">
        <v>22.8</v>
      </c>
      <c r="F13" s="8">
        <v>26.28</v>
      </c>
      <c r="G13" s="8">
        <v>40</v>
      </c>
      <c r="H13" s="8" t="s">
        <v>197</v>
      </c>
      <c r="I13" s="9" t="s">
        <v>18</v>
      </c>
      <c r="J13" s="9" t="s">
        <v>292</v>
      </c>
      <c r="K13" s="9"/>
      <c r="L13" s="9" t="s">
        <v>293</v>
      </c>
      <c r="M13" s="8">
        <v>15</v>
      </c>
      <c r="N13" s="8" t="s">
        <v>201</v>
      </c>
      <c r="O13" s="8" t="s">
        <v>209</v>
      </c>
      <c r="P13" s="11" t="s">
        <v>209</v>
      </c>
      <c r="Q13" s="11" t="s">
        <v>201</v>
      </c>
      <c r="R13" s="8" t="s">
        <v>216</v>
      </c>
      <c r="S13" s="8"/>
      <c r="T13" s="8"/>
      <c r="U13" s="11">
        <f t="shared" si="0"/>
        <v>0</v>
      </c>
      <c r="V13" s="47" t="b">
        <v>1</v>
      </c>
    </row>
    <row r="14" spans="1:22" ht="225" customHeight="1" x14ac:dyDescent="0.3">
      <c r="A14" s="10" t="s">
        <v>258</v>
      </c>
      <c r="B14" s="8" t="s">
        <v>310</v>
      </c>
      <c r="C14" s="8">
        <v>11176</v>
      </c>
      <c r="D14" s="8">
        <v>79</v>
      </c>
      <c r="E14" s="8">
        <v>29</v>
      </c>
      <c r="F14" s="8" t="s">
        <v>311</v>
      </c>
      <c r="G14" s="8">
        <v>10</v>
      </c>
      <c r="H14" s="8" t="s">
        <v>197</v>
      </c>
      <c r="I14" s="9" t="s">
        <v>19</v>
      </c>
      <c r="J14" s="9" t="s">
        <v>273</v>
      </c>
      <c r="K14" s="9" t="s">
        <v>260</v>
      </c>
      <c r="L14" s="9" t="s">
        <v>312</v>
      </c>
      <c r="M14" s="8"/>
      <c r="N14" s="8" t="s">
        <v>201</v>
      </c>
      <c r="O14" s="8" t="s">
        <v>209</v>
      </c>
      <c r="P14" s="11" t="s">
        <v>201</v>
      </c>
      <c r="Q14" s="8" t="s">
        <v>209</v>
      </c>
      <c r="R14" s="8" t="s">
        <v>216</v>
      </c>
      <c r="S14" s="8" t="s">
        <v>313</v>
      </c>
      <c r="T14" s="53"/>
      <c r="U14" s="54">
        <f t="shared" si="0"/>
        <v>0</v>
      </c>
      <c r="V14" s="47" t="b">
        <v>1</v>
      </c>
    </row>
    <row r="15" spans="1:22" ht="225" customHeight="1" x14ac:dyDescent="0.3">
      <c r="A15" s="10" t="s">
        <v>258</v>
      </c>
      <c r="B15" s="8" t="s">
        <v>314</v>
      </c>
      <c r="C15" s="8">
        <v>10905</v>
      </c>
      <c r="D15" s="8">
        <v>105</v>
      </c>
      <c r="E15" s="8">
        <v>22</v>
      </c>
      <c r="F15" s="8">
        <v>26.28</v>
      </c>
      <c r="G15" s="14">
        <v>45</v>
      </c>
      <c r="H15" s="14" t="s">
        <v>197</v>
      </c>
      <c r="I15" s="15" t="s">
        <v>260</v>
      </c>
      <c r="J15" s="15" t="s">
        <v>260</v>
      </c>
      <c r="K15" s="9"/>
      <c r="L15" s="15" t="s">
        <v>315</v>
      </c>
      <c r="M15" s="8"/>
      <c r="N15" s="8" t="s">
        <v>201</v>
      </c>
      <c r="O15" s="8" t="s">
        <v>201</v>
      </c>
      <c r="P15" s="11" t="s">
        <v>209</v>
      </c>
      <c r="Q15" s="16" t="s">
        <v>209</v>
      </c>
      <c r="R15" s="14" t="s">
        <v>216</v>
      </c>
      <c r="S15" s="14" t="s">
        <v>316</v>
      </c>
      <c r="T15" s="8"/>
      <c r="U15" s="11">
        <f t="shared" si="0"/>
        <v>0</v>
      </c>
      <c r="V15" s="47" t="b">
        <v>1</v>
      </c>
    </row>
    <row r="16" spans="1:22" ht="225" customHeight="1" x14ac:dyDescent="0.3">
      <c r="A16" s="13" t="s">
        <v>258</v>
      </c>
      <c r="B16" s="14" t="s">
        <v>317</v>
      </c>
      <c r="C16" s="14">
        <v>10506</v>
      </c>
      <c r="D16" s="14">
        <v>66</v>
      </c>
      <c r="E16" s="8"/>
      <c r="F16" s="14">
        <v>24.38</v>
      </c>
      <c r="G16" s="14">
        <v>20</v>
      </c>
      <c r="H16" s="9" t="s">
        <v>318</v>
      </c>
      <c r="I16" s="9" t="s">
        <v>19</v>
      </c>
      <c r="J16" s="15" t="s">
        <v>273</v>
      </c>
      <c r="K16" s="9"/>
      <c r="L16" s="15" t="s">
        <v>319</v>
      </c>
      <c r="M16" s="8"/>
      <c r="N16" s="8" t="s">
        <v>201</v>
      </c>
      <c r="O16" s="8" t="s">
        <v>201</v>
      </c>
      <c r="P16" s="11" t="s">
        <v>201</v>
      </c>
      <c r="Q16" s="16" t="s">
        <v>209</v>
      </c>
      <c r="R16" s="14" t="s">
        <v>216</v>
      </c>
      <c r="S16" s="14" t="s">
        <v>320</v>
      </c>
      <c r="V16" s="47" t="b">
        <v>1</v>
      </c>
    </row>
    <row r="17" spans="1:22" ht="225" customHeight="1" x14ac:dyDescent="0.3">
      <c r="A17" s="13" t="s">
        <v>258</v>
      </c>
      <c r="B17" s="14" t="s">
        <v>321</v>
      </c>
      <c r="C17" s="14">
        <v>2478</v>
      </c>
      <c r="D17" s="14">
        <v>100</v>
      </c>
      <c r="E17" s="14">
        <v>22</v>
      </c>
      <c r="F17" s="8">
        <v>27.27</v>
      </c>
      <c r="G17" s="14">
        <v>55</v>
      </c>
      <c r="H17" s="14" t="s">
        <v>197</v>
      </c>
      <c r="I17" s="15" t="s">
        <v>20</v>
      </c>
      <c r="J17" s="13" t="s">
        <v>426</v>
      </c>
      <c r="K17" s="14" t="s">
        <v>260</v>
      </c>
      <c r="L17" s="14" t="s">
        <v>208</v>
      </c>
      <c r="M17" s="14">
        <v>12</v>
      </c>
      <c r="N17" s="14" t="s">
        <v>209</v>
      </c>
      <c r="O17" s="14" t="s">
        <v>201</v>
      </c>
      <c r="P17" s="14" t="s">
        <v>201</v>
      </c>
      <c r="Q17" s="14" t="s">
        <v>201</v>
      </c>
      <c r="R17" s="15" t="s">
        <v>216</v>
      </c>
      <c r="S17" s="15" t="s">
        <v>313</v>
      </c>
      <c r="V17" s="47" t="b">
        <v>1</v>
      </c>
    </row>
    <row r="18" spans="1:22" ht="225" customHeight="1" x14ac:dyDescent="0.3">
      <c r="A18" s="13" t="s">
        <v>218</v>
      </c>
      <c r="B18" s="14" t="s">
        <v>322</v>
      </c>
      <c r="C18" s="14">
        <v>3019</v>
      </c>
      <c r="D18" s="14">
        <v>98</v>
      </c>
      <c r="E18" s="14">
        <v>26</v>
      </c>
      <c r="F18" s="8">
        <v>20.260000000000002</v>
      </c>
      <c r="G18" s="8" t="s">
        <v>323</v>
      </c>
      <c r="H18" s="14" t="s">
        <v>197</v>
      </c>
      <c r="I18" s="15" t="s">
        <v>18</v>
      </c>
      <c r="J18" s="15" t="s">
        <v>324</v>
      </c>
      <c r="K18" s="15" t="s">
        <v>207</v>
      </c>
      <c r="L18" s="15" t="s">
        <v>225</v>
      </c>
      <c r="M18" s="8"/>
      <c r="N18" s="8" t="s">
        <v>209</v>
      </c>
      <c r="O18" s="8" t="s">
        <v>201</v>
      </c>
      <c r="P18" s="11" t="s">
        <v>201</v>
      </c>
      <c r="Q18" s="8" t="s">
        <v>201</v>
      </c>
      <c r="R18" s="14" t="s">
        <v>216</v>
      </c>
      <c r="S18" s="14" t="s">
        <v>325</v>
      </c>
      <c r="V18" s="47" t="b">
        <v>1</v>
      </c>
    </row>
    <row r="19" spans="1:22" ht="225" customHeight="1" x14ac:dyDescent="0.3">
      <c r="A19" s="13" t="s">
        <v>192</v>
      </c>
      <c r="B19" s="14" t="s">
        <v>326</v>
      </c>
      <c r="C19" s="14">
        <v>6479</v>
      </c>
      <c r="D19" s="14">
        <v>103</v>
      </c>
      <c r="E19" s="14">
        <v>22</v>
      </c>
      <c r="F19" s="8">
        <v>27.27</v>
      </c>
      <c r="G19" s="14">
        <v>25</v>
      </c>
      <c r="H19" s="9" t="s">
        <v>197</v>
      </c>
      <c r="I19" s="9" t="s">
        <v>18</v>
      </c>
      <c r="J19" s="15" t="s">
        <v>327</v>
      </c>
      <c r="K19" s="15" t="s">
        <v>199</v>
      </c>
      <c r="L19" s="15" t="s">
        <v>328</v>
      </c>
      <c r="M19" s="14">
        <v>7</v>
      </c>
      <c r="N19" s="8" t="s">
        <v>201</v>
      </c>
      <c r="O19" s="8" t="s">
        <v>201</v>
      </c>
      <c r="P19" s="11" t="s">
        <v>201</v>
      </c>
      <c r="Q19" s="8" t="s">
        <v>201</v>
      </c>
      <c r="R19" s="14" t="s">
        <v>216</v>
      </c>
      <c r="S19" s="14"/>
      <c r="V19" s="47" t="b">
        <v>1</v>
      </c>
    </row>
    <row r="20" spans="1:22" ht="225" customHeight="1" x14ac:dyDescent="0.3">
      <c r="A20" s="13" t="s">
        <v>218</v>
      </c>
      <c r="B20" s="14" t="s">
        <v>329</v>
      </c>
      <c r="C20" s="14">
        <v>987</v>
      </c>
      <c r="D20" s="14">
        <v>108</v>
      </c>
      <c r="E20" s="14">
        <v>22.3</v>
      </c>
      <c r="F20" s="8">
        <v>30.23</v>
      </c>
      <c r="G20" s="8">
        <v>33</v>
      </c>
      <c r="H20" s="9" t="s">
        <v>197</v>
      </c>
      <c r="I20" s="9" t="s">
        <v>20</v>
      </c>
      <c r="J20" s="9" t="s">
        <v>330</v>
      </c>
      <c r="K20" s="9" t="s">
        <v>17</v>
      </c>
      <c r="L20" s="9" t="s">
        <v>331</v>
      </c>
      <c r="M20" s="8"/>
      <c r="N20" s="8" t="s">
        <v>201</v>
      </c>
      <c r="O20" s="8" t="s">
        <v>201</v>
      </c>
      <c r="P20" s="11" t="s">
        <v>201</v>
      </c>
      <c r="Q20" s="8" t="s">
        <v>201</v>
      </c>
      <c r="R20" s="8" t="s">
        <v>202</v>
      </c>
      <c r="S20" s="8" t="s">
        <v>332</v>
      </c>
      <c r="T20" s="14"/>
      <c r="V20" s="47" t="b">
        <v>1</v>
      </c>
    </row>
    <row r="21" spans="1:22" ht="225" customHeight="1" x14ac:dyDescent="0.3">
      <c r="A21" s="13" t="s">
        <v>218</v>
      </c>
      <c r="B21" s="14" t="s">
        <v>333</v>
      </c>
      <c r="C21" s="14">
        <v>6413</v>
      </c>
      <c r="D21" s="14">
        <v>109</v>
      </c>
      <c r="E21" s="14">
        <v>24</v>
      </c>
      <c r="F21" s="8">
        <v>27.27</v>
      </c>
      <c r="G21" s="8">
        <v>41</v>
      </c>
      <c r="H21" s="14" t="s">
        <v>197</v>
      </c>
      <c r="I21" s="15" t="s">
        <v>19</v>
      </c>
      <c r="J21" s="13" t="s">
        <v>427</v>
      </c>
      <c r="K21" s="14" t="s">
        <v>207</v>
      </c>
      <c r="L21" s="14" t="s">
        <v>334</v>
      </c>
      <c r="M21" s="14">
        <v>15</v>
      </c>
      <c r="N21" s="14" t="s">
        <v>201</v>
      </c>
      <c r="O21" s="14" t="s">
        <v>209</v>
      </c>
      <c r="P21" s="14" t="s">
        <v>201</v>
      </c>
      <c r="Q21" s="14" t="s">
        <v>209</v>
      </c>
      <c r="R21" s="15" t="s">
        <v>216</v>
      </c>
      <c r="S21" s="15" t="s">
        <v>335</v>
      </c>
      <c r="V21" s="47" t="b">
        <v>1</v>
      </c>
    </row>
    <row r="22" spans="1:22" ht="225" customHeight="1" x14ac:dyDescent="0.3">
      <c r="A22" s="13" t="s">
        <v>218</v>
      </c>
      <c r="B22" s="14" t="s">
        <v>336</v>
      </c>
      <c r="C22" s="14">
        <v>60</v>
      </c>
      <c r="D22" s="14">
        <v>104</v>
      </c>
      <c r="E22" s="14">
        <v>30</v>
      </c>
      <c r="F22" s="14">
        <v>28.26</v>
      </c>
      <c r="G22" s="14">
        <v>20</v>
      </c>
      <c r="H22" s="9" t="s">
        <v>213</v>
      </c>
      <c r="I22" s="15" t="s">
        <v>18</v>
      </c>
      <c r="J22" s="15" t="s">
        <v>337</v>
      </c>
      <c r="K22" s="15" t="s">
        <v>207</v>
      </c>
      <c r="L22" s="15" t="s">
        <v>338</v>
      </c>
      <c r="M22" s="14">
        <v>0</v>
      </c>
      <c r="N22" s="8" t="s">
        <v>201</v>
      </c>
      <c r="O22" s="8" t="s">
        <v>209</v>
      </c>
      <c r="P22" s="11" t="s">
        <v>201</v>
      </c>
      <c r="Q22" s="16" t="s">
        <v>201</v>
      </c>
      <c r="R22" s="14" t="s">
        <v>216</v>
      </c>
      <c r="S22" s="14" t="s">
        <v>339</v>
      </c>
      <c r="V22" s="47" t="b">
        <v>1</v>
      </c>
    </row>
    <row r="23" spans="1:22" ht="225" customHeight="1" x14ac:dyDescent="0.3">
      <c r="A23" s="13" t="s">
        <v>218</v>
      </c>
      <c r="B23" s="14" t="s">
        <v>340</v>
      </c>
      <c r="C23" s="14">
        <v>9501</v>
      </c>
      <c r="D23" s="14">
        <v>103</v>
      </c>
      <c r="E23" s="14">
        <v>22</v>
      </c>
      <c r="F23" s="8" t="s">
        <v>341</v>
      </c>
      <c r="G23" s="8">
        <v>35</v>
      </c>
      <c r="H23" s="9" t="s">
        <v>197</v>
      </c>
      <c r="I23" s="9" t="s">
        <v>18</v>
      </c>
      <c r="J23" s="9" t="s">
        <v>342</v>
      </c>
      <c r="K23" s="9" t="s">
        <v>207</v>
      </c>
      <c r="L23" s="9" t="s">
        <v>334</v>
      </c>
      <c r="M23" s="8">
        <v>10</v>
      </c>
      <c r="N23" s="8" t="s">
        <v>201</v>
      </c>
      <c r="O23" s="8" t="s">
        <v>201</v>
      </c>
      <c r="P23" s="11" t="s">
        <v>201</v>
      </c>
      <c r="Q23" s="8" t="s">
        <v>209</v>
      </c>
      <c r="R23" s="8" t="s">
        <v>216</v>
      </c>
      <c r="S23" s="14" t="s">
        <v>343</v>
      </c>
      <c r="V23" s="47" t="b">
        <v>1</v>
      </c>
    </row>
    <row r="24" spans="1:22" ht="225" customHeight="1" x14ac:dyDescent="0.3">
      <c r="A24" s="13" t="s">
        <v>218</v>
      </c>
      <c r="B24" s="14" t="s">
        <v>340</v>
      </c>
      <c r="C24" s="14">
        <v>9501</v>
      </c>
      <c r="D24" s="14">
        <v>103</v>
      </c>
      <c r="E24" s="14">
        <v>22</v>
      </c>
      <c r="F24" s="14" t="s">
        <v>341</v>
      </c>
      <c r="G24" s="14">
        <v>35</v>
      </c>
      <c r="H24" s="15" t="s">
        <v>197</v>
      </c>
      <c r="I24" s="15" t="s">
        <v>18</v>
      </c>
      <c r="J24" s="15" t="s">
        <v>342</v>
      </c>
      <c r="K24" s="15" t="s">
        <v>207</v>
      </c>
      <c r="L24" s="15" t="s">
        <v>334</v>
      </c>
      <c r="M24" s="14">
        <v>10</v>
      </c>
      <c r="N24" s="14" t="s">
        <v>201</v>
      </c>
      <c r="O24" s="14" t="s">
        <v>201</v>
      </c>
      <c r="P24" s="16" t="s">
        <v>201</v>
      </c>
      <c r="Q24" s="14" t="s">
        <v>209</v>
      </c>
      <c r="R24" s="14" t="s">
        <v>216</v>
      </c>
      <c r="S24" s="14" t="s">
        <v>343</v>
      </c>
      <c r="V24" s="47" t="b">
        <v>1</v>
      </c>
    </row>
    <row r="25" spans="1:22" ht="225" customHeight="1" x14ac:dyDescent="0.3">
      <c r="A25" s="13" t="s">
        <v>283</v>
      </c>
      <c r="B25" s="14" t="s">
        <v>455</v>
      </c>
      <c r="C25" s="14">
        <v>244</v>
      </c>
      <c r="D25" s="14" t="s">
        <v>448</v>
      </c>
      <c r="E25" s="14" t="s">
        <v>449</v>
      </c>
      <c r="F25" s="14" t="s">
        <v>450</v>
      </c>
      <c r="G25" s="14">
        <v>60</v>
      </c>
      <c r="H25" s="15" t="s">
        <v>197</v>
      </c>
      <c r="I25" s="15" t="s">
        <v>18</v>
      </c>
      <c r="J25" s="15" t="s">
        <v>451</v>
      </c>
      <c r="K25" s="15">
        <v>5</v>
      </c>
      <c r="L25" s="14" t="s">
        <v>454</v>
      </c>
      <c r="M25" s="14">
        <v>0</v>
      </c>
      <c r="N25" s="14" t="s">
        <v>201</v>
      </c>
      <c r="O25" s="14" t="s">
        <v>209</v>
      </c>
      <c r="P25" s="16" t="s">
        <v>201</v>
      </c>
      <c r="Q25" s="14" t="s">
        <v>209</v>
      </c>
      <c r="R25" s="14" t="s">
        <v>216</v>
      </c>
      <c r="V25" s="47" t="b">
        <v>1</v>
      </c>
    </row>
    <row r="26" spans="1:22" ht="225" customHeight="1" x14ac:dyDescent="0.3">
      <c r="A26" s="13" t="s">
        <v>283</v>
      </c>
      <c r="B26" s="14" t="s">
        <v>455</v>
      </c>
      <c r="C26" s="14">
        <v>288</v>
      </c>
      <c r="D26" s="14" t="s">
        <v>456</v>
      </c>
      <c r="E26" s="14" t="s">
        <v>457</v>
      </c>
      <c r="F26" s="14" t="s">
        <v>450</v>
      </c>
      <c r="G26" s="14">
        <v>60</v>
      </c>
      <c r="H26" s="15" t="s">
        <v>197</v>
      </c>
      <c r="I26" s="15" t="s">
        <v>18</v>
      </c>
      <c r="J26" s="15" t="s">
        <v>451</v>
      </c>
      <c r="K26" s="15" t="s">
        <v>452</v>
      </c>
      <c r="L26" s="14" t="s">
        <v>458</v>
      </c>
      <c r="M26" s="14">
        <v>15</v>
      </c>
      <c r="N26" s="14" t="s">
        <v>201</v>
      </c>
      <c r="O26" s="14" t="s">
        <v>209</v>
      </c>
      <c r="P26" s="16" t="s">
        <v>201</v>
      </c>
      <c r="Q26" s="14" t="s">
        <v>209</v>
      </c>
      <c r="R26" s="14" t="s">
        <v>216</v>
      </c>
      <c r="S26" s="14"/>
      <c r="V26" s="47" t="b">
        <v>1</v>
      </c>
    </row>
    <row r="27" spans="1:22" ht="225" customHeight="1" x14ac:dyDescent="0.3">
      <c r="A27" s="13" t="s">
        <v>283</v>
      </c>
      <c r="B27" s="14" t="s">
        <v>459</v>
      </c>
      <c r="C27" s="14">
        <v>1165</v>
      </c>
      <c r="D27" s="14" t="s">
        <v>460</v>
      </c>
      <c r="E27" s="14" t="s">
        <v>461</v>
      </c>
      <c r="F27" s="14" t="s">
        <v>462</v>
      </c>
      <c r="G27" s="14">
        <v>30</v>
      </c>
      <c r="H27" s="15" t="s">
        <v>197</v>
      </c>
      <c r="I27" s="15" t="s">
        <v>18</v>
      </c>
      <c r="J27" s="15" t="s">
        <v>451</v>
      </c>
      <c r="K27" s="15" t="s">
        <v>453</v>
      </c>
      <c r="L27" s="14" t="s">
        <v>312</v>
      </c>
      <c r="M27" s="14">
        <v>0</v>
      </c>
      <c r="N27" s="14" t="s">
        <v>201</v>
      </c>
      <c r="O27" s="14" t="s">
        <v>201</v>
      </c>
      <c r="P27" s="16" t="s">
        <v>201</v>
      </c>
      <c r="Q27" s="14" t="s">
        <v>201</v>
      </c>
      <c r="R27" s="14" t="s">
        <v>262</v>
      </c>
      <c r="S27" s="14" t="s">
        <v>463</v>
      </c>
      <c r="V27" s="47" t="b">
        <v>0</v>
      </c>
    </row>
    <row r="28" spans="1:22" ht="225" customHeight="1" x14ac:dyDescent="0.3">
      <c r="A28" s="13" t="s">
        <v>283</v>
      </c>
      <c r="B28" s="14" t="s">
        <v>491</v>
      </c>
      <c r="C28" s="14">
        <v>2080</v>
      </c>
      <c r="D28" s="14" t="s">
        <v>492</v>
      </c>
      <c r="E28" s="14" t="s">
        <v>493</v>
      </c>
      <c r="F28" s="14" t="s">
        <v>450</v>
      </c>
      <c r="G28" s="14">
        <v>15</v>
      </c>
      <c r="H28" s="15" t="s">
        <v>197</v>
      </c>
      <c r="I28" s="15" t="s">
        <v>19</v>
      </c>
      <c r="J28" s="15" t="s">
        <v>494</v>
      </c>
      <c r="K28" s="15" t="s">
        <v>453</v>
      </c>
      <c r="L28" s="14" t="s">
        <v>293</v>
      </c>
      <c r="M28" s="14">
        <v>11</v>
      </c>
      <c r="N28" s="14" t="s">
        <v>201</v>
      </c>
      <c r="O28" s="14" t="s">
        <v>209</v>
      </c>
      <c r="P28" s="16" t="s">
        <v>201</v>
      </c>
      <c r="Q28" s="14" t="s">
        <v>209</v>
      </c>
      <c r="R28" s="14" t="s">
        <v>216</v>
      </c>
      <c r="S28" s="14"/>
      <c r="V28" s="47" t="b">
        <v>0</v>
      </c>
    </row>
    <row r="29" spans="1:22" ht="225" customHeight="1" x14ac:dyDescent="0.3">
      <c r="A29" s="13" t="s">
        <v>283</v>
      </c>
      <c r="B29" s="14" t="s">
        <v>561</v>
      </c>
      <c r="C29" s="14">
        <v>2486</v>
      </c>
      <c r="D29" s="14" t="s">
        <v>562</v>
      </c>
      <c r="E29" s="14" t="s">
        <v>563</v>
      </c>
      <c r="F29" s="14" t="s">
        <v>450</v>
      </c>
      <c r="G29" s="14" t="s">
        <v>564</v>
      </c>
      <c r="H29" s="15" t="s">
        <v>197</v>
      </c>
      <c r="I29" s="15" t="s">
        <v>18</v>
      </c>
      <c r="J29" s="15" t="s">
        <v>565</v>
      </c>
      <c r="K29" s="15" t="s">
        <v>453</v>
      </c>
      <c r="L29" s="14" t="s">
        <v>566</v>
      </c>
      <c r="M29" s="14">
        <v>10</v>
      </c>
      <c r="N29" s="14" t="s">
        <v>201</v>
      </c>
      <c r="O29" s="14" t="s">
        <v>209</v>
      </c>
      <c r="P29" s="16" t="s">
        <v>201</v>
      </c>
      <c r="Q29" s="14" t="s">
        <v>201</v>
      </c>
      <c r="R29" s="14" t="s">
        <v>216</v>
      </c>
      <c r="S29" s="14"/>
      <c r="V29" s="47" t="b">
        <v>0</v>
      </c>
    </row>
    <row r="30" spans="1:22" ht="225" customHeight="1" x14ac:dyDescent="0.3">
      <c r="A30" s="13" t="s">
        <v>283</v>
      </c>
      <c r="B30" s="14" t="s">
        <v>567</v>
      </c>
      <c r="C30" s="14">
        <v>1410</v>
      </c>
      <c r="D30" s="14" t="s">
        <v>568</v>
      </c>
      <c r="E30" s="14" t="s">
        <v>569</v>
      </c>
      <c r="F30" s="14" t="s">
        <v>450</v>
      </c>
      <c r="G30" s="14">
        <v>12</v>
      </c>
      <c r="H30" s="15" t="s">
        <v>197</v>
      </c>
      <c r="I30" s="15" t="s">
        <v>19</v>
      </c>
      <c r="J30" s="15" t="s">
        <v>570</v>
      </c>
      <c r="K30" s="15" t="s">
        <v>453</v>
      </c>
      <c r="L30" s="14" t="s">
        <v>571</v>
      </c>
      <c r="M30" s="14">
        <v>15</v>
      </c>
      <c r="N30" s="14" t="s">
        <v>201</v>
      </c>
      <c r="O30" s="14" t="s">
        <v>201</v>
      </c>
      <c r="P30" s="16" t="s">
        <v>201</v>
      </c>
      <c r="Q30" s="14" t="s">
        <v>209</v>
      </c>
      <c r="R30" s="14" t="s">
        <v>216</v>
      </c>
      <c r="S30" s="14"/>
      <c r="V30" s="47" t="b">
        <v>0</v>
      </c>
    </row>
    <row r="31" spans="1:22" ht="225" customHeight="1" x14ac:dyDescent="0.3">
      <c r="A31" s="13" t="s">
        <v>283</v>
      </c>
      <c r="B31" s="14" t="s">
        <v>92</v>
      </c>
      <c r="C31" s="14">
        <v>1212</v>
      </c>
      <c r="D31" s="14" t="s">
        <v>572</v>
      </c>
      <c r="E31" s="14" t="s">
        <v>573</v>
      </c>
      <c r="F31" s="14" t="s">
        <v>574</v>
      </c>
      <c r="G31" s="14" t="s">
        <v>220</v>
      </c>
      <c r="H31" s="15" t="s">
        <v>197</v>
      </c>
      <c r="I31" s="15" t="s">
        <v>19</v>
      </c>
      <c r="J31" s="15" t="s">
        <v>575</v>
      </c>
      <c r="K31" s="15" t="s">
        <v>453</v>
      </c>
      <c r="L31" s="14" t="s">
        <v>576</v>
      </c>
      <c r="M31" s="14">
        <v>25</v>
      </c>
      <c r="N31" s="14" t="s">
        <v>201</v>
      </c>
      <c r="O31" s="14" t="s">
        <v>209</v>
      </c>
      <c r="P31" s="16" t="s">
        <v>201</v>
      </c>
      <c r="Q31" s="14" t="s">
        <v>201</v>
      </c>
      <c r="R31" s="14" t="s">
        <v>216</v>
      </c>
      <c r="S31" s="14"/>
      <c r="V31" s="47" t="b">
        <v>0</v>
      </c>
    </row>
    <row r="32" spans="1:22" ht="225" customHeight="1" x14ac:dyDescent="0.3">
      <c r="A32" s="13" t="s">
        <v>283</v>
      </c>
      <c r="B32" s="14" t="s">
        <v>578</v>
      </c>
      <c r="C32" s="14">
        <v>11479</v>
      </c>
      <c r="D32" s="14" t="s">
        <v>579</v>
      </c>
      <c r="E32" s="14" t="s">
        <v>580</v>
      </c>
      <c r="F32" s="14" t="s">
        <v>581</v>
      </c>
      <c r="G32" s="14" t="s">
        <v>220</v>
      </c>
      <c r="H32" s="15" t="s">
        <v>197</v>
      </c>
      <c r="I32" s="15" t="s">
        <v>18</v>
      </c>
      <c r="J32" s="15" t="s">
        <v>582</v>
      </c>
      <c r="K32" s="15" t="s">
        <v>583</v>
      </c>
      <c r="L32" s="14" t="s">
        <v>225</v>
      </c>
      <c r="M32" s="14">
        <v>10</v>
      </c>
      <c r="N32" s="14" t="s">
        <v>209</v>
      </c>
      <c r="O32" s="14" t="s">
        <v>201</v>
      </c>
      <c r="P32" s="16" t="s">
        <v>201</v>
      </c>
      <c r="Q32" s="14" t="s">
        <v>201</v>
      </c>
      <c r="R32" s="14" t="s">
        <v>216</v>
      </c>
      <c r="S32" s="14"/>
      <c r="V32" s="47" t="b">
        <v>0</v>
      </c>
    </row>
    <row r="33" spans="1:22" ht="225" customHeight="1" x14ac:dyDescent="0.3">
      <c r="A33" s="14" t="s">
        <v>283</v>
      </c>
      <c r="B33" s="14" t="s">
        <v>584</v>
      </c>
      <c r="C33" s="15">
        <v>10933</v>
      </c>
      <c r="D33" s="15" t="s">
        <v>585</v>
      </c>
      <c r="E33" s="15" t="s">
        <v>586</v>
      </c>
      <c r="F33" s="9" t="s">
        <v>450</v>
      </c>
      <c r="G33" s="8">
        <v>10</v>
      </c>
      <c r="H33" s="9" t="s">
        <v>197</v>
      </c>
      <c r="I33" s="9" t="s">
        <v>19</v>
      </c>
      <c r="J33" s="9" t="s">
        <v>587</v>
      </c>
      <c r="K33" s="9" t="s">
        <v>453</v>
      </c>
      <c r="L33" s="8" t="s">
        <v>221</v>
      </c>
      <c r="M33" s="8">
        <v>0</v>
      </c>
      <c r="N33" s="8" t="s">
        <v>201</v>
      </c>
      <c r="O33" s="10" t="s">
        <v>201</v>
      </c>
      <c r="P33" s="8" t="s">
        <v>201</v>
      </c>
      <c r="Q33" s="8" t="s">
        <v>209</v>
      </c>
      <c r="R33" s="8" t="s">
        <v>202</v>
      </c>
      <c r="S33" s="8" t="s">
        <v>588</v>
      </c>
      <c r="T33" s="8"/>
      <c r="V33" s="47" t="b">
        <v>0</v>
      </c>
    </row>
    <row r="34" spans="1:22" ht="225" customHeight="1" x14ac:dyDescent="0.3">
      <c r="A34" s="14" t="s">
        <v>283</v>
      </c>
      <c r="B34" s="14" t="s">
        <v>620</v>
      </c>
      <c r="C34" s="8">
        <v>6352</v>
      </c>
      <c r="D34" s="8" t="s">
        <v>621</v>
      </c>
      <c r="E34" s="8" t="s">
        <v>622</v>
      </c>
      <c r="F34" s="9" t="s">
        <v>623</v>
      </c>
      <c r="G34" s="9" t="s">
        <v>624</v>
      </c>
      <c r="H34" s="9" t="s">
        <v>197</v>
      </c>
      <c r="I34" s="9" t="s">
        <v>19</v>
      </c>
      <c r="J34" s="9" t="s">
        <v>625</v>
      </c>
      <c r="K34" s="9" t="s">
        <v>626</v>
      </c>
      <c r="L34" s="8" t="s">
        <v>627</v>
      </c>
      <c r="M34" s="8">
        <v>20</v>
      </c>
      <c r="N34" s="8" t="s">
        <v>201</v>
      </c>
      <c r="O34" s="8" t="s">
        <v>209</v>
      </c>
      <c r="P34" s="11" t="s">
        <v>201</v>
      </c>
      <c r="Q34" s="8" t="s">
        <v>201</v>
      </c>
      <c r="R34" s="10" t="s">
        <v>216</v>
      </c>
      <c r="S34" s="8"/>
      <c r="V34" s="47" t="b">
        <v>0</v>
      </c>
    </row>
    <row r="35" spans="1:22" ht="225" customHeight="1" x14ac:dyDescent="0.3">
      <c r="A35" s="13"/>
      <c r="B35" s="8"/>
      <c r="C35" s="8"/>
      <c r="D35" s="8"/>
      <c r="E35" s="8"/>
      <c r="F35" s="8"/>
      <c r="G35" s="8"/>
      <c r="H35" s="9"/>
      <c r="I35" s="9"/>
      <c r="J35" s="9"/>
      <c r="K35" s="9"/>
      <c r="L35" s="8"/>
      <c r="M35" s="8"/>
      <c r="N35" s="8"/>
      <c r="O35" s="8"/>
      <c r="P35" s="11"/>
      <c r="Q35" s="8"/>
      <c r="R35" s="8"/>
      <c r="S35" s="8"/>
      <c r="V35" s="47" t="b">
        <v>0</v>
      </c>
    </row>
    <row r="36" spans="1:22" ht="225" customHeight="1" x14ac:dyDescent="0.3">
      <c r="V36" s="47" t="b">
        <v>0</v>
      </c>
    </row>
    <row r="37" spans="1:22" ht="225" customHeight="1" x14ac:dyDescent="0.3">
      <c r="V37" s="47" t="b">
        <v>0</v>
      </c>
    </row>
    <row r="38" spans="1:22" ht="225" customHeight="1" x14ac:dyDescent="0.3">
      <c r="V38" s="47" t="b">
        <v>0</v>
      </c>
    </row>
    <row r="39" spans="1:22" ht="225" customHeight="1" x14ac:dyDescent="0.3">
      <c r="V39" s="47" t="b">
        <v>0</v>
      </c>
    </row>
    <row r="40" spans="1:22" ht="225" customHeight="1" x14ac:dyDescent="0.3">
      <c r="V40" s="47" t="b">
        <v>0</v>
      </c>
    </row>
    <row r="41" spans="1:22" ht="225" customHeight="1" x14ac:dyDescent="0.3">
      <c r="V41" s="47" t="b">
        <v>0</v>
      </c>
    </row>
    <row r="42" spans="1:22" ht="225" customHeight="1" x14ac:dyDescent="0.3">
      <c r="V42" s="47" t="b">
        <v>0</v>
      </c>
    </row>
    <row r="43" spans="1:22" ht="225" customHeight="1" x14ac:dyDescent="0.3">
      <c r="V43" s="47" t="b">
        <v>0</v>
      </c>
    </row>
    <row r="44" spans="1:22" ht="225" customHeight="1" x14ac:dyDescent="0.3">
      <c r="V44" s="47" t="b">
        <v>0</v>
      </c>
    </row>
    <row r="45" spans="1:22" ht="225" customHeight="1" x14ac:dyDescent="0.3">
      <c r="V45" s="47" t="b">
        <v>0</v>
      </c>
    </row>
    <row r="46" spans="1:22" ht="225" customHeight="1" x14ac:dyDescent="0.3">
      <c r="V46" s="47" t="b">
        <v>0</v>
      </c>
    </row>
    <row r="47" spans="1:22" ht="225" customHeight="1" x14ac:dyDescent="0.3">
      <c r="V47" s="47" t="b">
        <v>0</v>
      </c>
    </row>
    <row r="48" spans="1:22" ht="225" customHeight="1" x14ac:dyDescent="0.3">
      <c r="V48" s="47" t="b">
        <v>0</v>
      </c>
    </row>
    <row r="49" spans="22:22" ht="225" customHeight="1" x14ac:dyDescent="0.3">
      <c r="V49" s="47" t="b">
        <v>0</v>
      </c>
    </row>
    <row r="50" spans="22:22" ht="225" customHeight="1" x14ac:dyDescent="0.3">
      <c r="V50" s="47" t="b">
        <v>0</v>
      </c>
    </row>
    <row r="51" spans="22:22" ht="225" customHeight="1" x14ac:dyDescent="0.3">
      <c r="V51" s="47" t="b">
        <v>0</v>
      </c>
    </row>
    <row r="52" spans="22:22" ht="225" customHeight="1" x14ac:dyDescent="0.3">
      <c r="V52" s="47" t="b">
        <v>0</v>
      </c>
    </row>
    <row r="53" spans="22:22" ht="225" customHeight="1" x14ac:dyDescent="0.3">
      <c r="V53" s="47" t="b">
        <v>0</v>
      </c>
    </row>
    <row r="54" spans="22:22" ht="225" customHeight="1" x14ac:dyDescent="0.3">
      <c r="V54" s="47" t="b">
        <v>0</v>
      </c>
    </row>
    <row r="55" spans="22:22" ht="225" customHeight="1" x14ac:dyDescent="0.3">
      <c r="V55" s="47" t="b">
        <v>0</v>
      </c>
    </row>
    <row r="56" spans="22:22" ht="225" customHeight="1" x14ac:dyDescent="0.3"/>
    <row r="57" spans="22:22" ht="225" customHeight="1" x14ac:dyDescent="0.3"/>
    <row r="58" spans="22:22" ht="225" customHeight="1" x14ac:dyDescent="0.3"/>
    <row r="59" spans="22:22" ht="225" customHeight="1" x14ac:dyDescent="0.3"/>
    <row r="60" spans="22:22" ht="225" customHeight="1" x14ac:dyDescent="0.3"/>
    <row r="61" spans="22:22" ht="225" customHeight="1" x14ac:dyDescent="0.3"/>
    <row r="62" spans="22:22" ht="225" customHeight="1" x14ac:dyDescent="0.3"/>
    <row r="63" spans="22:22" ht="225" customHeight="1" x14ac:dyDescent="0.3"/>
    <row r="64" spans="22:22" ht="225" customHeight="1" x14ac:dyDescent="0.3"/>
    <row r="65" ht="225" customHeight="1" x14ac:dyDescent="0.3"/>
    <row r="66" ht="225" customHeight="1" x14ac:dyDescent="0.3"/>
    <row r="67" ht="225" customHeight="1" x14ac:dyDescent="0.3"/>
    <row r="68" ht="225" customHeight="1" x14ac:dyDescent="0.3"/>
    <row r="69" ht="225" customHeight="1" x14ac:dyDescent="0.3"/>
    <row r="70" ht="225" customHeight="1" x14ac:dyDescent="0.3"/>
    <row r="71" ht="225" customHeight="1" x14ac:dyDescent="0.3"/>
    <row r="72" ht="225" customHeight="1" x14ac:dyDescent="0.3"/>
    <row r="73" ht="225" customHeight="1" x14ac:dyDescent="0.3"/>
    <row r="74" ht="225" customHeight="1" x14ac:dyDescent="0.3"/>
    <row r="75" ht="225" customHeight="1" x14ac:dyDescent="0.3"/>
    <row r="76" ht="225" customHeight="1" x14ac:dyDescent="0.3"/>
  </sheetData>
  <mergeCells count="1">
    <mergeCell ref="T1:U1"/>
  </mergeCells>
  <phoneticPr fontId="8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06B3-6950-43FA-B490-B3A16A40C263}">
  <dimension ref="A1:D29"/>
  <sheetViews>
    <sheetView zoomScale="86" workbookViewId="0">
      <selection activeCell="B1" sqref="B1"/>
    </sheetView>
  </sheetViews>
  <sheetFormatPr defaultRowHeight="14.4" x14ac:dyDescent="0.3"/>
  <sheetData>
    <row r="1" spans="1:4" x14ac:dyDescent="0.3">
      <c r="A1" s="91">
        <v>60</v>
      </c>
      <c r="B1" t="str">
        <f>IF(EXACT(A1,IFERROR(VLOOKUP(A1,Pit_Input!C:S,1,FALSE),0)),"Aanwezig","Afwezig")</f>
        <v>Aanwezig</v>
      </c>
      <c r="C1" s="92">
        <v>6413</v>
      </c>
      <c r="D1" t="str">
        <f>IF(EXACT(C1,IFERROR(VLOOKUP(C1,Pit_Input!C:S,1,FALSE),0)),"Aanwezig","Afwezig")</f>
        <v>Aanwezig</v>
      </c>
    </row>
    <row r="2" spans="1:4" x14ac:dyDescent="0.3">
      <c r="A2" s="92">
        <v>244</v>
      </c>
      <c r="B2" t="str">
        <f>IF(EXACT(A2,IFERROR(VLOOKUP(A2,Pit_Input!C:S,1,FALSE),0)),"Aanwezig","Afwezig")</f>
        <v>Aanwezig</v>
      </c>
      <c r="C2" s="91">
        <v>6479</v>
      </c>
      <c r="D2" t="str">
        <f>IF(EXACT(C2,IFERROR(VLOOKUP(C2,Pit_Input!C:S,1,FALSE),0)),"Aanwezig","Afwezig")</f>
        <v>Aanwezig</v>
      </c>
    </row>
    <row r="3" spans="1:4" x14ac:dyDescent="0.3">
      <c r="A3" s="91">
        <v>288</v>
      </c>
      <c r="B3" t="str">
        <f>IF(EXACT(A3,IFERROR(VLOOKUP(A3,Pit_Input!C:S,1,FALSE),0)),"Aanwezig","Afwezig")</f>
        <v>Aanwezig</v>
      </c>
      <c r="C3" s="92">
        <v>6833</v>
      </c>
      <c r="D3" t="str">
        <f>IF(EXACT(C3,IFERROR(VLOOKUP(C3,Pit_Input!C:S,1,FALSE),0)),"Aanwezig","Afwezig")</f>
        <v>Afwezig</v>
      </c>
    </row>
    <row r="4" spans="1:4" x14ac:dyDescent="0.3">
      <c r="A4" s="92">
        <v>698</v>
      </c>
      <c r="B4" t="str">
        <f>IF(EXACT(A4,IFERROR(VLOOKUP(A4,Pit_Input!C:S,1,FALSE),0)),"Aanwezig","Afwezig")</f>
        <v>Aanwezig</v>
      </c>
      <c r="C4" s="91">
        <v>7333</v>
      </c>
      <c r="D4" t="str">
        <f>IF(EXACT(C4,IFERROR(VLOOKUP(C4,Pit_Input!C:S,1,FALSE),0)),"Aanwezig","Afwezig")</f>
        <v>Afwezig</v>
      </c>
    </row>
    <row r="5" spans="1:4" x14ac:dyDescent="0.3">
      <c r="A5" s="91">
        <v>987</v>
      </c>
      <c r="B5" t="str">
        <f>IF(EXACT(A5,IFERROR(VLOOKUP(A5,Pit_Input!C:S,1,FALSE),0)),"Aanwezig","Afwezig")</f>
        <v>Aanwezig</v>
      </c>
      <c r="C5" s="92">
        <v>7425</v>
      </c>
      <c r="D5" t="str">
        <f>IF(EXACT(C5,IFERROR(VLOOKUP(C5,Pit_Input!C:S,1,FALSE),0)),"Aanwezig","Afwezig")</f>
        <v>Afwezig</v>
      </c>
    </row>
    <row r="6" spans="1:4" x14ac:dyDescent="0.3">
      <c r="A6" s="92">
        <v>991</v>
      </c>
      <c r="B6" t="str">
        <f>IF(EXACT(A6,IFERROR(VLOOKUP(A6,Pit_Input!C:S,1,FALSE),0)),"Aanwezig","Afwezig")</f>
        <v>Aanwezig</v>
      </c>
      <c r="C6" s="91">
        <v>7426</v>
      </c>
      <c r="D6" t="str">
        <f>IF(EXACT(C6,IFERROR(VLOOKUP(C6,Pit_Input!C:S,1,FALSE),0)),"Aanwezig","Afwezig")</f>
        <v>Aanwezig</v>
      </c>
    </row>
    <row r="7" spans="1:4" x14ac:dyDescent="0.3">
      <c r="A7" s="91">
        <v>996</v>
      </c>
      <c r="B7" t="str">
        <f>IF(EXACT(A7,IFERROR(VLOOKUP(A7,Pit_Input!C:S,1,FALSE),0)),"Aanwezig","Afwezig")</f>
        <v>Afwezig</v>
      </c>
      <c r="C7" s="92">
        <v>7755</v>
      </c>
      <c r="D7" t="str">
        <f>IF(EXACT(C7,IFERROR(VLOOKUP(C7,Pit_Input!C:S,1,FALSE),0)),"Aanwezig","Afwezig")</f>
        <v>Afwezig</v>
      </c>
    </row>
    <row r="8" spans="1:4" x14ac:dyDescent="0.3">
      <c r="A8" s="92">
        <v>1165</v>
      </c>
      <c r="B8" t="str">
        <f>IF(EXACT(A8,IFERROR(VLOOKUP(A8,Pit_Input!C:S,1,FALSE),0)),"Aanwezig","Afwezig")</f>
        <v>Aanwezig</v>
      </c>
      <c r="C8" s="91">
        <v>8012</v>
      </c>
      <c r="D8" t="str">
        <f>IF(EXACT(C8,IFERROR(VLOOKUP(C8,Pit_Input!C:S,1,FALSE),0)),"Aanwezig","Afwezig")</f>
        <v>Afwezig</v>
      </c>
    </row>
    <row r="9" spans="1:4" x14ac:dyDescent="0.3">
      <c r="A9" s="91">
        <v>1212</v>
      </c>
      <c r="B9" t="str">
        <f>IF(EXACT(A9,IFERROR(VLOOKUP(A9,Pit_Input!C:S,1,FALSE),0)),"Aanwezig","Afwezig")</f>
        <v>Aanwezig</v>
      </c>
      <c r="C9" s="92">
        <v>8717</v>
      </c>
      <c r="D9" t="str">
        <f>IF(EXACT(C9,IFERROR(VLOOKUP(C9,Pit_Input!C:S,1,FALSE),0)),"Aanwezig","Afwezig")</f>
        <v>Afwezig</v>
      </c>
    </row>
    <row r="10" spans="1:4" x14ac:dyDescent="0.3">
      <c r="A10" s="92">
        <v>1410</v>
      </c>
      <c r="B10" t="str">
        <f>IF(EXACT(A10,IFERROR(VLOOKUP(A10,Pit_Input!C:S,1,FALSE),0)),"Aanwezig","Afwezig")</f>
        <v>Aanwezig</v>
      </c>
      <c r="C10" s="91">
        <v>9059</v>
      </c>
      <c r="D10" t="str">
        <f>IF(EXACT(C10,IFERROR(VLOOKUP(C10,Pit_Input!C:S,1,FALSE),0)),"Aanwezig","Afwezig")</f>
        <v>Aanwezig</v>
      </c>
    </row>
    <row r="11" spans="1:4" x14ac:dyDescent="0.3">
      <c r="A11" s="91">
        <v>1828</v>
      </c>
      <c r="B11" t="str">
        <f>IF(EXACT(A11,IFERROR(VLOOKUP(A11,Pit_Input!C:S,1,FALSE),0)),"Aanwezig","Afwezig")</f>
        <v>Afwezig</v>
      </c>
      <c r="C11" s="92">
        <v>9091</v>
      </c>
      <c r="D11" t="str">
        <f>IF(EXACT(C11,IFERROR(VLOOKUP(C11,Pit_Input!C:S,1,FALSE),0)),"Aanwezig","Afwezig")</f>
        <v>Afwezig</v>
      </c>
    </row>
    <row r="12" spans="1:4" x14ac:dyDescent="0.3">
      <c r="A12" s="92">
        <v>2080</v>
      </c>
      <c r="B12" t="str">
        <f>IF(EXACT(A12,IFERROR(VLOOKUP(A12,Pit_Input!C:S,1,FALSE),0)),"Aanwezig","Afwezig")</f>
        <v>Aanwezig</v>
      </c>
      <c r="C12" s="91">
        <v>9501</v>
      </c>
      <c r="D12" t="str">
        <f>IF(EXACT(C12,IFERROR(VLOOKUP(C12,Pit_Input!C:S,1,FALSE),0)),"Aanwezig","Afwezig")</f>
        <v>Aanwezig</v>
      </c>
    </row>
    <row r="13" spans="1:4" x14ac:dyDescent="0.3">
      <c r="A13" s="91">
        <v>2122</v>
      </c>
      <c r="B13" t="str">
        <f>IF(EXACT(A13,IFERROR(VLOOKUP(A13,Pit_Input!C:S,1,FALSE),0)),"Aanwezig","Afwezig")</f>
        <v>Afwezig</v>
      </c>
      <c r="C13" s="92">
        <v>9534</v>
      </c>
      <c r="D13" t="str">
        <f>IF(EXACT(C13,IFERROR(VLOOKUP(C13,Pit_Input!C:S,1,FALSE),0)),"Aanwezig","Afwezig")</f>
        <v>Afwezig</v>
      </c>
    </row>
    <row r="14" spans="1:4" x14ac:dyDescent="0.3">
      <c r="A14" s="92">
        <v>2403</v>
      </c>
      <c r="B14" t="str">
        <f>IF(EXACT(A14,IFERROR(VLOOKUP(A14,Pit_Input!C:S,1,FALSE),0)),"Aanwezig","Afwezig")</f>
        <v>Afwezig</v>
      </c>
      <c r="C14" s="91">
        <v>9704</v>
      </c>
      <c r="D14" t="str">
        <f>IF(EXACT(C14,IFERROR(VLOOKUP(C14,Pit_Input!C:S,1,FALSE),0)),"Aanwezig","Afwezig")</f>
        <v>Afwezig</v>
      </c>
    </row>
    <row r="15" spans="1:4" x14ac:dyDescent="0.3">
      <c r="A15" s="91">
        <v>2478</v>
      </c>
      <c r="B15" t="str">
        <f>IF(EXACT(A15,IFERROR(VLOOKUP(A15,Pit_Input!C:S,1,FALSE),0)),"Aanwezig","Afwezig")</f>
        <v>Aanwezig</v>
      </c>
      <c r="C15" s="92">
        <v>9777</v>
      </c>
      <c r="D15" t="str">
        <f>IF(EXACT(C15,IFERROR(VLOOKUP(C15,Pit_Input!C:S,1,FALSE),0)),"Aanwezig","Afwezig")</f>
        <v>Afwezig</v>
      </c>
    </row>
    <row r="16" spans="1:4" x14ac:dyDescent="0.3">
      <c r="A16" s="92">
        <v>2486</v>
      </c>
      <c r="B16" t="str">
        <f>IF(EXACT(A16,IFERROR(VLOOKUP(A16,Pit_Input!C:S,1,FALSE),0)),"Aanwezig","Afwezig")</f>
        <v>Aanwezig</v>
      </c>
      <c r="C16" s="91">
        <v>10114</v>
      </c>
      <c r="D16" t="str">
        <f>IF(EXACT(C16,IFERROR(VLOOKUP(C16,Pit_Input!C:S,1,FALSE),0)),"Aanwezig","Afwezig")</f>
        <v>Aanwezig</v>
      </c>
    </row>
    <row r="17" spans="1:4" x14ac:dyDescent="0.3">
      <c r="A17" s="91">
        <v>2662</v>
      </c>
      <c r="B17" t="str">
        <f>IF(EXACT(A17,IFERROR(VLOOKUP(A17,Pit_Input!C:S,1,FALSE),0)),"Aanwezig","Afwezig")</f>
        <v>Aanwezig</v>
      </c>
      <c r="C17" s="92">
        <v>10183</v>
      </c>
      <c r="D17" t="str">
        <f>IF(EXACT(C17,IFERROR(VLOOKUP(C17,Pit_Input!C:S,1,FALSE),0)),"Aanwezig","Afwezig")</f>
        <v>Afwezig</v>
      </c>
    </row>
    <row r="18" spans="1:4" x14ac:dyDescent="0.3">
      <c r="A18" s="92">
        <v>2840</v>
      </c>
      <c r="B18" t="str">
        <f>IF(EXACT(A18,IFERROR(VLOOKUP(A18,Pit_Input!C:S,1,FALSE),0)),"Aanwezig","Afwezig")</f>
        <v>Afwezig</v>
      </c>
      <c r="C18" s="91">
        <v>10256</v>
      </c>
      <c r="D18" t="str">
        <f>IF(EXACT(C18,IFERROR(VLOOKUP(C18,Pit_Input!C:S,1,FALSE),0)),"Aanwezig","Afwezig")</f>
        <v>Afwezig</v>
      </c>
    </row>
    <row r="19" spans="1:4" x14ac:dyDescent="0.3">
      <c r="A19" s="91">
        <v>3009</v>
      </c>
      <c r="B19" t="str">
        <f>IF(EXACT(A19,IFERROR(VLOOKUP(A19,Pit_Input!C:S,1,FALSE),0)),"Aanwezig","Afwezig")</f>
        <v>Afwezig</v>
      </c>
      <c r="C19" s="92">
        <v>10380</v>
      </c>
      <c r="D19" t="str">
        <f>IF(EXACT(C19,IFERROR(VLOOKUP(C19,Pit_Input!C:S,1,FALSE),0)),"Aanwezig","Afwezig")</f>
        <v>Aanwezig</v>
      </c>
    </row>
    <row r="20" spans="1:4" x14ac:dyDescent="0.3">
      <c r="A20" s="92">
        <v>3019</v>
      </c>
      <c r="B20" t="str">
        <f>IF(EXACT(A20,IFERROR(VLOOKUP(A20,Pit_Input!C:S,1,FALSE),0)),"Aanwezig","Afwezig")</f>
        <v>Aanwezig</v>
      </c>
      <c r="C20" s="91">
        <v>10506</v>
      </c>
      <c r="D20" t="str">
        <f>IF(EXACT(C20,IFERROR(VLOOKUP(C20,Pit_Input!C:S,1,FALSE),0)),"Aanwezig","Afwezig")</f>
        <v>Aanwezig</v>
      </c>
    </row>
    <row r="21" spans="1:4" x14ac:dyDescent="0.3">
      <c r="A21" s="91">
        <v>3216</v>
      </c>
      <c r="B21" t="str">
        <f>IF(EXACT(A21,IFERROR(VLOOKUP(A21,Pit_Input!C:S,1,FALSE),0)),"Aanwezig","Afwezig")</f>
        <v>Afwezig</v>
      </c>
      <c r="C21" s="92">
        <v>10905</v>
      </c>
      <c r="D21" t="str">
        <f>IF(EXACT(C21,IFERROR(VLOOKUP(C21,Pit_Input!C:S,1,FALSE),0)),"Aanwezig","Afwezig")</f>
        <v>Aanwezig</v>
      </c>
    </row>
    <row r="22" spans="1:4" x14ac:dyDescent="0.3">
      <c r="A22" s="92">
        <v>3243</v>
      </c>
      <c r="B22" t="str">
        <f>IF(EXACT(A22,IFERROR(VLOOKUP(A22,Pit_Input!C:S,1,FALSE),0)),"Aanwezig","Afwezig")</f>
        <v>Afwezig</v>
      </c>
      <c r="C22" s="91">
        <v>10933</v>
      </c>
      <c r="D22" t="str">
        <f>IF(EXACT(C22,IFERROR(VLOOKUP(C22,Pit_Input!C:S,1,FALSE),0)),"Aanwezig","Afwezig")</f>
        <v>Aanwezig</v>
      </c>
    </row>
    <row r="23" spans="1:4" x14ac:dyDescent="0.3">
      <c r="A23" s="91">
        <v>3245</v>
      </c>
      <c r="B23" t="str">
        <f>IF(EXACT(A23,IFERROR(VLOOKUP(A23,Pit_Input!C:S,1,FALSE),0)),"Aanwezig","Afwezig")</f>
        <v>Aanwezig</v>
      </c>
      <c r="C23" s="92">
        <v>10980</v>
      </c>
      <c r="D23" t="str">
        <f>IF(EXACT(C23,IFERROR(VLOOKUP(C23,Pit_Input!C:S,1,FALSE),0)),"Aanwezig","Afwezig")</f>
        <v>Afwezig</v>
      </c>
    </row>
    <row r="24" spans="1:4" x14ac:dyDescent="0.3">
      <c r="A24" s="92">
        <v>3424</v>
      </c>
      <c r="B24" t="str">
        <f>IF(EXACT(A24,IFERROR(VLOOKUP(A24,Pit_Input!C:S,1,FALSE),0)),"Aanwezig","Afwezig")</f>
        <v>Aanwezig</v>
      </c>
      <c r="C24" s="91">
        <v>10988</v>
      </c>
      <c r="D24" t="str">
        <f>IF(EXACT(C24,IFERROR(VLOOKUP(C24,Pit_Input!C:S,1,FALSE),0)),"Aanwezig","Afwezig")</f>
        <v>Aanwezig</v>
      </c>
    </row>
    <row r="25" spans="1:4" x14ac:dyDescent="0.3">
      <c r="A25" s="91">
        <v>3944</v>
      </c>
      <c r="B25" t="str">
        <f>IF(EXACT(A25,IFERROR(VLOOKUP(A25,Pit_Input!C:S,1,FALSE),0)),"Aanwezig","Afwezig")</f>
        <v>Afwezig</v>
      </c>
      <c r="C25" s="92">
        <v>11100</v>
      </c>
      <c r="D25" t="str">
        <f>IF(EXACT(C25,IFERROR(VLOOKUP(C25,Pit_Input!C:S,1,FALSE),0)),"Aanwezig","Afwezig")</f>
        <v>Afwezig</v>
      </c>
    </row>
    <row r="26" spans="1:4" x14ac:dyDescent="0.3">
      <c r="A26" s="92">
        <v>4146</v>
      </c>
      <c r="B26" t="str">
        <f>IF(EXACT(A26,IFERROR(VLOOKUP(A26,Pit_Input!C:S,1,FALSE),0)),"Aanwezig","Afwezig")</f>
        <v>Aanwezig</v>
      </c>
      <c r="C26" s="91">
        <v>11176</v>
      </c>
      <c r="D26" t="str">
        <f>IF(EXACT(C26,IFERROR(VLOOKUP(C26,Pit_Input!C:S,1,FALSE),0)),"Aanwezig","Afwezig")</f>
        <v>Aanwezig</v>
      </c>
    </row>
    <row r="27" spans="1:4" x14ac:dyDescent="0.3">
      <c r="A27" s="91">
        <v>4731</v>
      </c>
      <c r="B27" t="str">
        <f>IF(EXACT(A27,IFERROR(VLOOKUP(A27,Pit_Input!C:S,1,FALSE),0)),"Aanwezig","Afwezig")</f>
        <v>Afwezig</v>
      </c>
      <c r="C27" s="92">
        <v>11212</v>
      </c>
      <c r="D27" t="str">
        <f>IF(EXACT(C27,IFERROR(VLOOKUP(C27,Pit_Input!C:S,1,FALSE),0)),"Aanwezig","Afwezig")</f>
        <v>Afwezig</v>
      </c>
    </row>
    <row r="28" spans="1:4" x14ac:dyDescent="0.3">
      <c r="A28" s="92">
        <v>5933</v>
      </c>
      <c r="B28" t="str">
        <f>IF(EXACT(A28,IFERROR(VLOOKUP(A28,Pit_Input!C:S,1,FALSE),0)),"Aanwezig","Afwezig")</f>
        <v>Afwezig</v>
      </c>
      <c r="C28" s="91">
        <v>11479</v>
      </c>
      <c r="D28" t="str">
        <f>IF(EXACT(C28,IFERROR(VLOOKUP(C28,Pit_Input!C:S,1,FALSE),0)),"Aanwezig","Afwezig")</f>
        <v>Aanwezig</v>
      </c>
    </row>
    <row r="29" spans="1:4" x14ac:dyDescent="0.3">
      <c r="A29" s="91">
        <v>6352</v>
      </c>
      <c r="B29" t="str">
        <f>IF(EXACT(A29,IFERROR(VLOOKUP(A29,Pit_Input!C:S,1,FALSE),0)),"Aanwezig","Afwezig")</f>
        <v>Aanwezig</v>
      </c>
    </row>
  </sheetData>
  <conditionalFormatting sqref="D1:D28 B1:B29">
    <cfRule type="cellIs" dxfId="28" priority="1" operator="equal">
      <formula>"Aanwezig"</formula>
    </cfRule>
    <cfRule type="cellIs" dxfId="27" priority="2" operator="equal">
      <formula>"afwezig"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931B-23F4-4BA2-AEE8-DE3C5084FA41}">
  <dimension ref="A1:AS67"/>
  <sheetViews>
    <sheetView zoomScale="63" zoomScaleNormal="70" workbookViewId="0">
      <selection activeCell="A2" sqref="A2"/>
    </sheetView>
  </sheetViews>
  <sheetFormatPr defaultRowHeight="14.4" x14ac:dyDescent="0.3"/>
  <cols>
    <col min="1" max="1" width="19.21875" customWidth="1"/>
    <col min="2" max="2" width="14" customWidth="1"/>
    <col min="3" max="3" width="8.21875" bestFit="1" customWidth="1"/>
    <col min="4" max="4" width="7.5546875" customWidth="1"/>
    <col min="5" max="5" width="18.77734375" customWidth="1"/>
    <col min="6" max="6" width="8.5546875" bestFit="1" customWidth="1"/>
    <col min="7" max="7" width="7.5546875" bestFit="1" customWidth="1"/>
    <col min="8" max="8" width="16" bestFit="1" customWidth="1"/>
    <col min="9" max="9" width="14.6640625" bestFit="1" customWidth="1"/>
    <col min="10" max="10" width="13.109375" customWidth="1"/>
    <col min="11" max="11" width="16.21875" customWidth="1"/>
    <col min="12" max="12" width="14.77734375" customWidth="1"/>
    <col min="13" max="13" width="6" customWidth="1"/>
    <col min="14" max="14" width="14.44140625" customWidth="1"/>
    <col min="15" max="15" width="18.6640625" customWidth="1"/>
    <col min="16" max="16" width="13.6640625" customWidth="1"/>
    <col min="17" max="17" width="17.88671875" bestFit="1" customWidth="1"/>
    <col min="18" max="18" width="16" bestFit="1" customWidth="1"/>
    <col min="19" max="19" width="16.6640625" bestFit="1" customWidth="1"/>
    <col min="20" max="20" width="13.21875" bestFit="1" customWidth="1"/>
    <col min="21" max="21" width="10.44140625" bestFit="1" customWidth="1"/>
    <col min="23" max="23" width="13.33203125" bestFit="1" customWidth="1"/>
    <col min="24" max="24" width="14" bestFit="1" customWidth="1"/>
    <col min="25" max="25" width="17.44140625" bestFit="1" customWidth="1"/>
    <col min="26" max="26" width="8.77734375" bestFit="1" customWidth="1"/>
    <col min="27" max="27" width="14" bestFit="1" customWidth="1"/>
    <col min="28" max="28" width="14.44140625" bestFit="1" customWidth="1"/>
    <col min="29" max="29" width="17.109375" customWidth="1"/>
    <col min="30" max="30" width="12.77734375" customWidth="1"/>
    <col min="31" max="31" width="12.5546875" bestFit="1" customWidth="1"/>
    <col min="32" max="32" width="21.109375" bestFit="1" customWidth="1"/>
    <col min="33" max="33" width="6.5546875" bestFit="1" customWidth="1"/>
    <col min="34" max="34" width="12.5546875" bestFit="1" customWidth="1"/>
    <col min="35" max="35" width="10.44140625" bestFit="1" customWidth="1"/>
    <col min="36" max="36" width="18.44140625" bestFit="1" customWidth="1"/>
    <col min="38" max="38" width="13.6640625" bestFit="1" customWidth="1"/>
    <col min="39" max="39" width="21.33203125" bestFit="1" customWidth="1"/>
    <col min="40" max="40" width="13.21875" bestFit="1" customWidth="1"/>
    <col min="41" max="41" width="16.6640625" bestFit="1" customWidth="1"/>
  </cols>
  <sheetData>
    <row r="1" spans="1:45" ht="23.4" x14ac:dyDescent="0.45">
      <c r="A1" s="3" t="s">
        <v>3</v>
      </c>
      <c r="B1" s="168" t="s">
        <v>168</v>
      </c>
      <c r="C1" s="168"/>
      <c r="D1" s="168"/>
      <c r="E1" s="168"/>
      <c r="Q1" s="21" t="s">
        <v>43</v>
      </c>
      <c r="S1" s="8" t="s">
        <v>61</v>
      </c>
    </row>
    <row r="2" spans="1:45" ht="25.8" x14ac:dyDescent="0.5">
      <c r="A2" s="4">
        <v>3944</v>
      </c>
      <c r="B2" s="170">
        <f>Y4</f>
        <v>0</v>
      </c>
      <c r="C2" s="170"/>
      <c r="D2" s="170"/>
      <c r="E2" s="170"/>
      <c r="Q2" s="64" t="s">
        <v>56</v>
      </c>
      <c r="R2" s="22">
        <f>AA4</f>
        <v>0</v>
      </c>
      <c r="S2" s="8">
        <f>AVERAGE(Pit_Input!D2:D99)</f>
        <v>101.72727272727273</v>
      </c>
    </row>
    <row r="3" spans="1:45" ht="15.6" x14ac:dyDescent="0.3">
      <c r="Q3" s="87" t="s">
        <v>62</v>
      </c>
      <c r="R3" s="22">
        <f>AB4</f>
        <v>0</v>
      </c>
      <c r="S3" s="8">
        <f>AVERAGE(Pit_Input!E2:E99)</f>
        <v>24.256250000000001</v>
      </c>
      <c r="X3" s="71" t="s">
        <v>44</v>
      </c>
      <c r="Y3" s="72" t="s">
        <v>45</v>
      </c>
      <c r="Z3" s="72" t="s">
        <v>71</v>
      </c>
      <c r="AA3" s="73" t="s">
        <v>46</v>
      </c>
      <c r="AB3" s="73" t="s">
        <v>47</v>
      </c>
      <c r="AC3" s="73" t="s">
        <v>48</v>
      </c>
      <c r="AD3" s="73" t="s">
        <v>150</v>
      </c>
      <c r="AE3" s="73" t="s">
        <v>49</v>
      </c>
      <c r="AF3" s="73" t="s">
        <v>50</v>
      </c>
      <c r="AG3" s="74" t="s">
        <v>163</v>
      </c>
      <c r="AH3" s="74" t="s">
        <v>51</v>
      </c>
      <c r="AI3" s="74" t="s">
        <v>52</v>
      </c>
      <c r="AJ3" s="74" t="s">
        <v>53</v>
      </c>
      <c r="AK3" s="74" t="s">
        <v>151</v>
      </c>
      <c r="AL3" s="74" t="s">
        <v>55</v>
      </c>
      <c r="AM3" s="74" t="s">
        <v>152</v>
      </c>
      <c r="AN3" s="74" t="s">
        <v>153</v>
      </c>
      <c r="AO3" s="74" t="s">
        <v>154</v>
      </c>
      <c r="AP3" s="74" t="s">
        <v>155</v>
      </c>
      <c r="AQ3" s="74" t="s">
        <v>161</v>
      </c>
      <c r="AR3" s="80" t="s">
        <v>156</v>
      </c>
      <c r="AS3" s="81"/>
    </row>
    <row r="4" spans="1:45" ht="23.4" x14ac:dyDescent="0.45">
      <c r="A4" s="5" t="s">
        <v>169</v>
      </c>
      <c r="B4" s="55" t="s">
        <v>24</v>
      </c>
      <c r="C4" s="8" t="s">
        <v>170</v>
      </c>
      <c r="E4" s="55" t="s">
        <v>171</v>
      </c>
      <c r="F4" s="8" t="s">
        <v>170</v>
      </c>
      <c r="H4" s="55" t="s">
        <v>172</v>
      </c>
      <c r="I4" s="8" t="s">
        <v>170</v>
      </c>
      <c r="K4" s="55" t="s">
        <v>21</v>
      </c>
      <c r="L4" s="8" t="s">
        <v>25</v>
      </c>
      <c r="N4" s="55" t="s">
        <v>179</v>
      </c>
      <c r="O4" s="8"/>
      <c r="Q4" s="64" t="s">
        <v>63</v>
      </c>
      <c r="R4" s="22">
        <f>AC4</f>
        <v>0</v>
      </c>
      <c r="S4" s="8" t="e">
        <f>AVERAGE(Pit_Input!#REF!)</f>
        <v>#REF!</v>
      </c>
      <c r="X4" t="str" cm="1">
        <f t="array" ref="X4">_xlfn._xlws.FILTER(Tabel2[], Tabel2[team_number]=A2, "Geen resultaten")</f>
        <v>Geen resultaten</v>
      </c>
    </row>
    <row r="5" spans="1:45" ht="15.6" x14ac:dyDescent="0.3">
      <c r="A5" s="169">
        <f>AVERAGE(Q32:Q99)/100</f>
        <v>0.42</v>
      </c>
      <c r="B5" s="24" t="s">
        <v>15</v>
      </c>
      <c r="C5" s="24">
        <f>COUNTIF(S32:S99,"L1")</f>
        <v>0</v>
      </c>
      <c r="E5" s="6" t="s">
        <v>18</v>
      </c>
      <c r="F5" s="6">
        <f>COUNTIF(E32:E99, "D")</f>
        <v>1</v>
      </c>
      <c r="H5" s="57" t="s">
        <v>22</v>
      </c>
      <c r="I5" s="57">
        <f>COUNTIF(K32:K105, "true")</f>
        <v>1</v>
      </c>
      <c r="K5" s="58" t="s">
        <v>23</v>
      </c>
      <c r="L5" s="60">
        <f>COUNTIF(H32:H99,"true")/COUNT(B32:B99)</f>
        <v>0</v>
      </c>
      <c r="N5" s="59" t="s">
        <v>26</v>
      </c>
      <c r="O5" s="59" cm="1">
        <f t="array" ref="O5">MIN(IF(AB11:AB30&gt;0, AB11:AB30))</f>
        <v>2</v>
      </c>
      <c r="Q5" s="64" t="s">
        <v>57</v>
      </c>
      <c r="R5" s="22">
        <f>AE4</f>
        <v>0</v>
      </c>
      <c r="S5" s="8">
        <f>AVERAGE(Pit_Input!G2:G99)</f>
        <v>35.44</v>
      </c>
    </row>
    <row r="6" spans="1:45" ht="15.6" x14ac:dyDescent="0.3">
      <c r="A6" s="169"/>
      <c r="B6" s="56" t="s">
        <v>16</v>
      </c>
      <c r="C6" s="56">
        <f>COUNTIF(S32:S99,"L2")</f>
        <v>0</v>
      </c>
      <c r="E6" s="58" t="s">
        <v>19</v>
      </c>
      <c r="F6" s="58">
        <f>COUNTIF(E32:E99, "H")</f>
        <v>1</v>
      </c>
      <c r="H6" s="58" t="s">
        <v>81</v>
      </c>
      <c r="I6" s="58">
        <f>COUNTIF(L32:L99, "true")</f>
        <v>0</v>
      </c>
      <c r="K6" s="6" t="s">
        <v>24</v>
      </c>
      <c r="L6" s="61">
        <f>COUNTIF(J32:J99,"true")/COUNT(B32:B99)</f>
        <v>0</v>
      </c>
      <c r="N6" s="57" t="s">
        <v>27</v>
      </c>
      <c r="O6" s="75">
        <f>AVERAGE(AB11:AB84)</f>
        <v>3.25</v>
      </c>
      <c r="Q6" s="64" t="s">
        <v>58</v>
      </c>
      <c r="R6" s="22">
        <f>AF4</f>
        <v>0</v>
      </c>
      <c r="S6" s="8"/>
    </row>
    <row r="7" spans="1:45" ht="15.6" x14ac:dyDescent="0.3">
      <c r="A7" s="169"/>
      <c r="B7" s="57" t="s">
        <v>17</v>
      </c>
      <c r="C7" s="57">
        <f>COUNTIF(S32:S99,"L3")</f>
        <v>0</v>
      </c>
      <c r="E7" s="24" t="s">
        <v>20</v>
      </c>
      <c r="F7" s="24">
        <f>COUNTIF(E32:E99, "O")</f>
        <v>2</v>
      </c>
      <c r="H7" s="56" t="s">
        <v>18</v>
      </c>
      <c r="I7" s="56">
        <f>COUNTIF(M32:M99,"true")</f>
        <v>0</v>
      </c>
      <c r="K7" s="59" t="s">
        <v>440</v>
      </c>
      <c r="L7" s="147">
        <f>COUNTIF(I32:I99,"true")/COUNT(B32:B99)</f>
        <v>0</v>
      </c>
      <c r="N7" s="58" t="s">
        <v>28</v>
      </c>
      <c r="O7" s="58">
        <f>MAX(AB11:AB84)</f>
        <v>8</v>
      </c>
      <c r="Q7" s="64" t="s">
        <v>24</v>
      </c>
      <c r="R7" s="22">
        <f>AI4</f>
        <v>0</v>
      </c>
      <c r="S7" s="8"/>
    </row>
    <row r="8" spans="1:45" ht="15.6" x14ac:dyDescent="0.3">
      <c r="A8" s="169"/>
      <c r="B8" s="58" t="s">
        <v>79</v>
      </c>
      <c r="C8" s="58">
        <f>COUNTIF(S32:S99,"A")</f>
        <v>0</v>
      </c>
      <c r="K8" s="67" t="s">
        <v>189</v>
      </c>
      <c r="L8" s="67" t="e">
        <f>AVERAGE(I32:I46)</f>
        <v>#DIV/0!</v>
      </c>
      <c r="Q8" s="64" t="s">
        <v>59</v>
      </c>
      <c r="R8" s="22">
        <f>AJ4</f>
        <v>0</v>
      </c>
      <c r="S8" s="8"/>
    </row>
    <row r="9" spans="1:45" ht="15.6" x14ac:dyDescent="0.3">
      <c r="B9" s="6" t="s">
        <v>80</v>
      </c>
      <c r="C9" s="6">
        <f>COUNTIF(S32:S99,"NA")</f>
        <v>3</v>
      </c>
      <c r="K9" s="67" t="s">
        <v>28</v>
      </c>
      <c r="L9" s="67">
        <f>MAX(I32:I51)</f>
        <v>0</v>
      </c>
      <c r="Q9" s="64" t="s">
        <v>54</v>
      </c>
      <c r="R9" s="22">
        <f>AK4</f>
        <v>0</v>
      </c>
      <c r="S9" s="8">
        <f>AVERAGE(Pit_Input!M2:M99)</f>
        <v>10</v>
      </c>
    </row>
    <row r="10" spans="1:45" ht="21.6" customHeight="1" x14ac:dyDescent="0.3">
      <c r="A10" s="171" t="s">
        <v>183</v>
      </c>
      <c r="Q10" s="64" t="s">
        <v>55</v>
      </c>
      <c r="R10" s="22">
        <f>AL4</f>
        <v>0</v>
      </c>
      <c r="S10" s="14"/>
      <c r="AB10" t="s">
        <v>184</v>
      </c>
    </row>
    <row r="11" spans="1:45" ht="15.6" customHeight="1" x14ac:dyDescent="0.3">
      <c r="A11" s="171"/>
      <c r="Q11" s="64" t="s">
        <v>174</v>
      </c>
      <c r="R11" s="8">
        <f>AM4</f>
        <v>0</v>
      </c>
      <c r="S11" s="8">
        <f>COUNTIF(Pit_Input!O2:O63,1)</f>
        <v>0</v>
      </c>
      <c r="T11" s="8" t="s">
        <v>178</v>
      </c>
      <c r="Y11" cm="1">
        <f t="array" ref="Y11:AA43">IF(N32:P64="","",N32:P64)</f>
        <v>0</v>
      </c>
      <c r="Z11">
        <v>0</v>
      </c>
      <c r="AA11">
        <v>0</v>
      </c>
      <c r="AB11">
        <f>IF(COUNT(Y11:AA11)=0,"",SUM(Y11:AA11))</f>
        <v>0</v>
      </c>
    </row>
    <row r="12" spans="1:45" ht="15.6" customHeight="1" x14ac:dyDescent="0.3">
      <c r="A12" s="171"/>
      <c r="Q12" s="64" t="s">
        <v>157</v>
      </c>
      <c r="R12" s="8">
        <f>AN4</f>
        <v>0</v>
      </c>
      <c r="S12" s="68">
        <f>COUNTIF(Pit_Input!P2:P62,1)</f>
        <v>0</v>
      </c>
      <c r="T12" s="8" t="s">
        <v>178</v>
      </c>
      <c r="Y12">
        <v>2</v>
      </c>
      <c r="Z12">
        <v>0</v>
      </c>
      <c r="AA12">
        <v>0</v>
      </c>
      <c r="AB12">
        <f t="shared" ref="AB12:AB67" si="0">IF(COUNT(Y12:AA12)=0,"",SUM(Y12:AA12))</f>
        <v>2</v>
      </c>
    </row>
    <row r="13" spans="1:45" ht="15.6" customHeight="1" x14ac:dyDescent="0.3">
      <c r="A13" s="171"/>
      <c r="Q13" s="64" t="s">
        <v>158</v>
      </c>
      <c r="R13" s="8">
        <f>AO4</f>
        <v>0</v>
      </c>
      <c r="S13" s="68">
        <f>COUNTIF(Pit_Input!Q2:Q62,1)</f>
        <v>0</v>
      </c>
      <c r="T13" s="8" t="s">
        <v>178</v>
      </c>
      <c r="Y13">
        <v>3</v>
      </c>
      <c r="Z13">
        <v>0</v>
      </c>
      <c r="AA13">
        <v>0</v>
      </c>
      <c r="AB13">
        <f t="shared" si="0"/>
        <v>3</v>
      </c>
    </row>
    <row r="14" spans="1:45" ht="15.6" customHeight="1" x14ac:dyDescent="0.3">
      <c r="A14" s="172">
        <f>AVERAGE(AB11:AB60)</f>
        <v>3.25</v>
      </c>
      <c r="Q14" s="64"/>
      <c r="R14" s="8">
        <f>AP4</f>
        <v>0</v>
      </c>
      <c r="S14" s="69"/>
      <c r="Y14">
        <v>2</v>
      </c>
      <c r="Z14">
        <v>6</v>
      </c>
      <c r="AA14">
        <v>0</v>
      </c>
      <c r="AB14">
        <f t="shared" si="0"/>
        <v>8</v>
      </c>
    </row>
    <row r="15" spans="1:45" ht="14.4" customHeight="1" x14ac:dyDescent="0.3">
      <c r="A15" s="172"/>
      <c r="Q15" s="8"/>
      <c r="R15" s="8"/>
      <c r="S15" s="8"/>
      <c r="Y15" t="str">
        <v/>
      </c>
      <c r="Z15" t="str">
        <v/>
      </c>
      <c r="AA15" t="str">
        <v/>
      </c>
      <c r="AB15" t="str">
        <f t="shared" si="0"/>
        <v/>
      </c>
    </row>
    <row r="16" spans="1:45" ht="14.4" customHeight="1" x14ac:dyDescent="0.3">
      <c r="A16" s="172"/>
      <c r="Y16" t="str">
        <v/>
      </c>
      <c r="Z16" t="str">
        <v/>
      </c>
      <c r="AA16" t="str">
        <v/>
      </c>
      <c r="AB16" t="str">
        <f t="shared" si="0"/>
        <v/>
      </c>
    </row>
    <row r="17" spans="1:28" ht="14.4" customHeight="1" x14ac:dyDescent="0.3">
      <c r="A17" s="172"/>
      <c r="Y17" t="str">
        <v/>
      </c>
      <c r="Z17" t="str">
        <v/>
      </c>
      <c r="AA17" t="str">
        <v/>
      </c>
      <c r="AB17" t="str">
        <f t="shared" si="0"/>
        <v/>
      </c>
    </row>
    <row r="18" spans="1:28" ht="14.4" customHeight="1" x14ac:dyDescent="0.3">
      <c r="A18" s="172"/>
      <c r="B18" t="s">
        <v>173</v>
      </c>
      <c r="C18" t="str">
        <f>INDEX(B5:B7,MATCH(MAX(C5:C7),C5:C7,0))</f>
        <v>L1</v>
      </c>
      <c r="E18" t="s">
        <v>173</v>
      </c>
      <c r="F18" t="str">
        <f>INDEX(E5:E7,MATCH(MAX(F5:F7),F5:F7,0))</f>
        <v>Outpost</v>
      </c>
      <c r="H18" t="s">
        <v>173</v>
      </c>
      <c r="I18" t="str">
        <f>INDEX(H5:H7,MATCH(MAX(I5:I7),I5:I7,0))</f>
        <v>Ground</v>
      </c>
      <c r="L18" s="2"/>
      <c r="Y18" t="str">
        <v/>
      </c>
      <c r="Z18" t="str">
        <v/>
      </c>
      <c r="AA18" t="str">
        <v/>
      </c>
      <c r="AB18" t="str">
        <f t="shared" si="0"/>
        <v/>
      </c>
    </row>
    <row r="19" spans="1:28" ht="14.4" customHeight="1" x14ac:dyDescent="0.3">
      <c r="A19" s="172"/>
      <c r="Y19" t="str">
        <v/>
      </c>
      <c r="Z19" t="str">
        <v/>
      </c>
      <c r="AA19" t="str">
        <v/>
      </c>
      <c r="AB19" t="str">
        <f t="shared" si="0"/>
        <v/>
      </c>
    </row>
    <row r="20" spans="1:28" ht="22.2" customHeight="1" x14ac:dyDescent="1.2">
      <c r="A20" s="76"/>
      <c r="B20" s="77" t="s">
        <v>14</v>
      </c>
      <c r="C20" s="78"/>
      <c r="D20" s="78"/>
      <c r="J20" s="77" t="s">
        <v>159</v>
      </c>
      <c r="O20" t="s">
        <v>64</v>
      </c>
      <c r="Y20" t="str">
        <v/>
      </c>
      <c r="Z20" t="str">
        <v/>
      </c>
      <c r="AA20" t="str">
        <v/>
      </c>
      <c r="AB20" t="str">
        <f t="shared" si="0"/>
        <v/>
      </c>
    </row>
    <row r="21" spans="1:28" x14ac:dyDescent="0.3">
      <c r="B21" t="str" cm="1">
        <f t="array" ref="B21">IFERROR(_xlfn._xlws.FILTER(V32:V99, (V32:V99&lt;&gt;"") * (ISNUMBER(V32:V99)=FALSE)), "")</f>
        <v>Mainly focused on ball feeding</v>
      </c>
      <c r="J21" t="str" cm="1">
        <f t="array" ref="J21">IFERROR(_xlfn._xlws.FILTER(AQ4:AQ71, (AQ4:AQ71&lt;&gt;"") * (ISNUMBER(AQ4:AQ71)=FALSE)), "")</f>
        <v/>
      </c>
      <c r="Y21" t="str">
        <v/>
      </c>
      <c r="Z21" t="str">
        <v/>
      </c>
      <c r="AA21" t="str">
        <v/>
      </c>
      <c r="AB21" t="str">
        <f t="shared" si="0"/>
        <v/>
      </c>
    </row>
    <row r="22" spans="1:28" x14ac:dyDescent="0.3">
      <c r="Y22" t="str">
        <v/>
      </c>
      <c r="Z22" t="str">
        <v/>
      </c>
      <c r="AA22" t="str">
        <v/>
      </c>
      <c r="AB22" t="str">
        <f t="shared" si="0"/>
        <v/>
      </c>
    </row>
    <row r="23" spans="1:28" x14ac:dyDescent="0.3">
      <c r="L23" s="2"/>
      <c r="Y23" t="str">
        <v/>
      </c>
      <c r="Z23" t="str">
        <v/>
      </c>
      <c r="AA23" t="str">
        <v/>
      </c>
      <c r="AB23" t="str">
        <f t="shared" si="0"/>
        <v/>
      </c>
    </row>
    <row r="24" spans="1:28" x14ac:dyDescent="0.3">
      <c r="Y24" t="str">
        <v/>
      </c>
      <c r="Z24" t="str">
        <v/>
      </c>
      <c r="AA24" t="str">
        <v/>
      </c>
      <c r="AB24" t="str">
        <f t="shared" si="0"/>
        <v/>
      </c>
    </row>
    <row r="25" spans="1:28" x14ac:dyDescent="0.3">
      <c r="Y25" t="str">
        <v/>
      </c>
      <c r="Z25" t="str">
        <v/>
      </c>
      <c r="AA25" t="str">
        <v/>
      </c>
      <c r="AB25" t="str">
        <f t="shared" si="0"/>
        <v/>
      </c>
    </row>
    <row r="26" spans="1:28" x14ac:dyDescent="0.3">
      <c r="Y26" t="str">
        <v/>
      </c>
      <c r="Z26" t="str">
        <v/>
      </c>
      <c r="AA26" t="str">
        <v/>
      </c>
      <c r="AB26" t="str">
        <f t="shared" si="0"/>
        <v/>
      </c>
    </row>
    <row r="27" spans="1:28" x14ac:dyDescent="0.3">
      <c r="Y27" t="str">
        <v/>
      </c>
      <c r="Z27" t="str">
        <v/>
      </c>
      <c r="AA27" t="str">
        <v/>
      </c>
      <c r="AB27" t="str">
        <f t="shared" si="0"/>
        <v/>
      </c>
    </row>
    <row r="28" spans="1:28" x14ac:dyDescent="0.3">
      <c r="Y28" t="str">
        <v/>
      </c>
      <c r="Z28" t="str">
        <v/>
      </c>
      <c r="AA28" t="str">
        <v/>
      </c>
      <c r="AB28" t="str">
        <f t="shared" si="0"/>
        <v/>
      </c>
    </row>
    <row r="29" spans="1:28" x14ac:dyDescent="0.3">
      <c r="Y29" t="str">
        <v/>
      </c>
      <c r="Z29" t="str">
        <v/>
      </c>
      <c r="AA29" t="str">
        <v/>
      </c>
      <c r="AB29" t="str">
        <f t="shared" si="0"/>
        <v/>
      </c>
    </row>
    <row r="30" spans="1:28" x14ac:dyDescent="0.3">
      <c r="Y30" t="str">
        <v/>
      </c>
      <c r="Z30" t="str">
        <v/>
      </c>
      <c r="AA30" t="str">
        <v/>
      </c>
      <c r="AB30" t="str">
        <f t="shared" si="0"/>
        <v/>
      </c>
    </row>
    <row r="31" spans="1:28" x14ac:dyDescent="0.3">
      <c r="A31" s="31" t="s">
        <v>0</v>
      </c>
      <c r="B31" s="31" t="s">
        <v>1</v>
      </c>
      <c r="C31" s="31" t="s">
        <v>2</v>
      </c>
      <c r="D31" s="84" t="s">
        <v>3</v>
      </c>
      <c r="E31" s="31" t="s">
        <v>4</v>
      </c>
      <c r="F31" s="31" t="s">
        <v>5</v>
      </c>
      <c r="G31" s="31" t="s">
        <v>6</v>
      </c>
      <c r="H31" s="32" t="s">
        <v>7</v>
      </c>
      <c r="I31" s="32" t="s">
        <v>8</v>
      </c>
      <c r="J31" s="32" t="s">
        <v>9</v>
      </c>
      <c r="K31" s="33" t="s">
        <v>72</v>
      </c>
      <c r="L31" s="33" t="s">
        <v>73</v>
      </c>
      <c r="M31" s="33" t="s">
        <v>74</v>
      </c>
      <c r="N31" s="85" t="s">
        <v>180</v>
      </c>
      <c r="O31" s="85" t="s">
        <v>181</v>
      </c>
      <c r="P31" s="85" t="s">
        <v>182</v>
      </c>
      <c r="Q31" s="33" t="s">
        <v>75</v>
      </c>
      <c r="R31" s="33" t="s">
        <v>76</v>
      </c>
      <c r="S31" s="34" t="s">
        <v>11</v>
      </c>
      <c r="T31" s="34" t="s">
        <v>12</v>
      </c>
      <c r="U31" s="34" t="s">
        <v>13</v>
      </c>
      <c r="V31" s="86" t="s">
        <v>14</v>
      </c>
      <c r="W31" s="35" t="s">
        <v>148</v>
      </c>
      <c r="Y31" t="str">
        <v/>
      </c>
      <c r="Z31" t="str">
        <v/>
      </c>
      <c r="AA31" t="str">
        <v/>
      </c>
      <c r="AB31" t="str">
        <f t="shared" si="0"/>
        <v/>
      </c>
    </row>
    <row r="32" spans="1:28" ht="15.6" x14ac:dyDescent="0.3">
      <c r="A32" s="1" t="str" cm="1">
        <f t="array" ref="A32:W35">_xlfn._xlws.FILTER(Tabel1[], Tabel1[Team Number]=A2, "Geen resultaten")</f>
        <v>LeoV</v>
      </c>
      <c r="B32">
        <v>5</v>
      </c>
      <c r="C32" t="str">
        <v>B1</v>
      </c>
      <c r="D32">
        <v>3944</v>
      </c>
      <c r="E32" t="str">
        <v>D</v>
      </c>
      <c r="F32" t="str">
        <v>false</v>
      </c>
      <c r="G32" t="str">
        <v>true</v>
      </c>
      <c r="H32" t="str">
        <v>false</v>
      </c>
      <c r="I32" t="str">
        <v>false</v>
      </c>
      <c r="J32" t="str">
        <v>NA</v>
      </c>
      <c r="K32" t="str">
        <v>false</v>
      </c>
      <c r="L32" t="str">
        <v>false</v>
      </c>
      <c r="M32" t="str">
        <v>false</v>
      </c>
      <c r="N32">
        <v>0</v>
      </c>
      <c r="O32">
        <v>0</v>
      </c>
      <c r="P32">
        <v>0</v>
      </c>
      <c r="Q32">
        <v>1</v>
      </c>
      <c r="R32" t="str">
        <v>false</v>
      </c>
      <c r="S32" t="str">
        <v>NA</v>
      </c>
      <c r="T32" t="str">
        <v>true</v>
      </c>
      <c r="U32" t="str">
        <v>false</v>
      </c>
      <c r="V32">
        <v>0</v>
      </c>
      <c r="W32">
        <v>3</v>
      </c>
      <c r="Y32" t="str">
        <v/>
      </c>
      <c r="Z32" t="str">
        <v/>
      </c>
      <c r="AA32" t="str">
        <v/>
      </c>
      <c r="AB32" t="str">
        <f t="shared" si="0"/>
        <v/>
      </c>
    </row>
    <row r="33" spans="1:28" x14ac:dyDescent="0.3">
      <c r="A33" t="str">
        <v>JV</v>
      </c>
      <c r="B33">
        <v>50</v>
      </c>
      <c r="C33" t="str">
        <v>R3</v>
      </c>
      <c r="D33">
        <v>3944</v>
      </c>
      <c r="E33" t="str">
        <v>H</v>
      </c>
      <c r="F33" t="str">
        <v>false</v>
      </c>
      <c r="G33" t="str">
        <v>true</v>
      </c>
      <c r="H33" t="str">
        <v>false</v>
      </c>
      <c r="I33" t="str">
        <v>false</v>
      </c>
      <c r="J33" t="str">
        <v>NA</v>
      </c>
      <c r="K33" t="str">
        <v>false</v>
      </c>
      <c r="L33" t="str">
        <v>false</v>
      </c>
      <c r="M33" t="str">
        <v>false</v>
      </c>
      <c r="N33">
        <v>2</v>
      </c>
      <c r="O33">
        <v>0</v>
      </c>
      <c r="P33">
        <v>0</v>
      </c>
      <c r="Q33">
        <v>20</v>
      </c>
      <c r="R33" t="str">
        <v>false</v>
      </c>
      <c r="S33" t="str">
        <v>NA</v>
      </c>
      <c r="T33" t="str">
        <v>false</v>
      </c>
      <c r="U33" t="str">
        <v>false</v>
      </c>
      <c r="V33" t="str">
        <v>Mainly focused on ball feeding</v>
      </c>
      <c r="W33">
        <v>5</v>
      </c>
      <c r="Y33" t="str">
        <v/>
      </c>
      <c r="Z33" t="str">
        <v/>
      </c>
      <c r="AA33" t="str">
        <v/>
      </c>
      <c r="AB33" t="str">
        <f t="shared" si="0"/>
        <v/>
      </c>
    </row>
    <row r="34" spans="1:28" x14ac:dyDescent="0.3">
      <c r="A34" t="str">
        <v>BW</v>
      </c>
      <c r="B34">
        <v>64</v>
      </c>
      <c r="C34" t="str">
        <v>R1</v>
      </c>
      <c r="D34">
        <v>3944</v>
      </c>
      <c r="E34" t="str">
        <v>O</v>
      </c>
      <c r="F34" t="str">
        <v>false</v>
      </c>
      <c r="G34" t="str">
        <v>true</v>
      </c>
      <c r="H34" t="str">
        <v>false</v>
      </c>
      <c r="I34" t="str">
        <v>false</v>
      </c>
      <c r="J34" t="str">
        <v>NA</v>
      </c>
      <c r="K34" t="str">
        <v>true</v>
      </c>
      <c r="L34" t="str">
        <v>false</v>
      </c>
      <c r="M34" t="str">
        <v>false</v>
      </c>
      <c r="N34">
        <v>3</v>
      </c>
      <c r="O34">
        <v>0</v>
      </c>
      <c r="P34">
        <v>0</v>
      </c>
      <c r="Q34">
        <v>65</v>
      </c>
      <c r="R34" t="str">
        <v>true</v>
      </c>
      <c r="S34" t="str">
        <v>NA</v>
      </c>
      <c r="T34" t="str">
        <v>false</v>
      </c>
      <c r="U34" t="str">
        <v>false</v>
      </c>
      <c r="V34">
        <v>0</v>
      </c>
      <c r="W34">
        <v>3</v>
      </c>
      <c r="Y34" t="str">
        <v/>
      </c>
      <c r="Z34" t="str">
        <v/>
      </c>
      <c r="AA34" t="str">
        <v/>
      </c>
      <c r="AB34" t="str">
        <f t="shared" si="0"/>
        <v/>
      </c>
    </row>
    <row r="35" spans="1:28" x14ac:dyDescent="0.3">
      <c r="A35" t="str">
        <v>Jippe</v>
      </c>
      <c r="B35">
        <v>73</v>
      </c>
      <c r="C35" t="str">
        <v>R3</v>
      </c>
      <c r="D35">
        <v>3944</v>
      </c>
      <c r="E35" t="str">
        <v>O</v>
      </c>
      <c r="F35" t="str">
        <v>false</v>
      </c>
      <c r="G35" t="str">
        <v>false</v>
      </c>
      <c r="H35" t="str">
        <v>false</v>
      </c>
      <c r="I35" t="str">
        <v>false</v>
      </c>
      <c r="J35" t="str">
        <v>No attempt</v>
      </c>
      <c r="K35" t="str">
        <v>false</v>
      </c>
      <c r="L35" t="str">
        <v>false</v>
      </c>
      <c r="M35" t="str">
        <v>false</v>
      </c>
      <c r="N35">
        <v>2</v>
      </c>
      <c r="O35">
        <v>6</v>
      </c>
      <c r="P35">
        <v>0</v>
      </c>
      <c r="Q35">
        <v>82</v>
      </c>
      <c r="R35" t="str">
        <v>false</v>
      </c>
      <c r="S35" t="str">
        <v>No Attempt</v>
      </c>
      <c r="T35" t="str">
        <v>true</v>
      </c>
      <c r="U35" t="str">
        <v>false</v>
      </c>
      <c r="V35">
        <v>0</v>
      </c>
      <c r="W35">
        <v>2</v>
      </c>
      <c r="Y35" t="str">
        <v/>
      </c>
      <c r="Z35" t="str">
        <v/>
      </c>
      <c r="AA35" t="str">
        <v/>
      </c>
      <c r="AB35" t="str">
        <f t="shared" si="0"/>
        <v/>
      </c>
    </row>
    <row r="36" spans="1:28" x14ac:dyDescent="0.3">
      <c r="Y36" t="str">
        <v/>
      </c>
      <c r="Z36" t="str">
        <v/>
      </c>
      <c r="AA36" t="str">
        <v/>
      </c>
      <c r="AB36" t="str">
        <f t="shared" si="0"/>
        <v/>
      </c>
    </row>
    <row r="37" spans="1:28" x14ac:dyDescent="0.3">
      <c r="Y37" t="str">
        <v/>
      </c>
      <c r="Z37" t="str">
        <v/>
      </c>
      <c r="AA37" t="str">
        <v/>
      </c>
      <c r="AB37" t="str">
        <f t="shared" si="0"/>
        <v/>
      </c>
    </row>
    <row r="38" spans="1:28" x14ac:dyDescent="0.3">
      <c r="Y38" t="str">
        <v/>
      </c>
      <c r="Z38" t="str">
        <v/>
      </c>
      <c r="AA38" t="str">
        <v/>
      </c>
      <c r="AB38" t="str">
        <f t="shared" si="0"/>
        <v/>
      </c>
    </row>
    <row r="39" spans="1:28" x14ac:dyDescent="0.3">
      <c r="Y39" t="str">
        <v/>
      </c>
      <c r="Z39" t="str">
        <v/>
      </c>
      <c r="AA39" t="str">
        <v/>
      </c>
      <c r="AB39" t="str">
        <f t="shared" si="0"/>
        <v/>
      </c>
    </row>
    <row r="40" spans="1:28" x14ac:dyDescent="0.3">
      <c r="Y40" t="str">
        <v/>
      </c>
      <c r="Z40" t="str">
        <v/>
      </c>
      <c r="AA40" t="str">
        <v/>
      </c>
      <c r="AB40" t="str">
        <f t="shared" si="0"/>
        <v/>
      </c>
    </row>
    <row r="41" spans="1:28" x14ac:dyDescent="0.3">
      <c r="Y41" t="str">
        <v/>
      </c>
      <c r="Z41" t="str">
        <v/>
      </c>
      <c r="AA41" t="str">
        <v/>
      </c>
      <c r="AB41" t="str">
        <f t="shared" si="0"/>
        <v/>
      </c>
    </row>
    <row r="42" spans="1:28" x14ac:dyDescent="0.3">
      <c r="Y42" t="str">
        <v/>
      </c>
      <c r="Z42" t="str">
        <v/>
      </c>
      <c r="AA42" t="str">
        <v/>
      </c>
      <c r="AB42" t="str">
        <f t="shared" si="0"/>
        <v/>
      </c>
    </row>
    <row r="43" spans="1:28" x14ac:dyDescent="0.3">
      <c r="Y43" t="str">
        <v/>
      </c>
      <c r="Z43" t="str">
        <v/>
      </c>
      <c r="AA43" t="str">
        <v/>
      </c>
      <c r="AB43" t="str">
        <f t="shared" si="0"/>
        <v/>
      </c>
    </row>
    <row r="44" spans="1:28" x14ac:dyDescent="0.3">
      <c r="AB44" t="str">
        <f t="shared" si="0"/>
        <v/>
      </c>
    </row>
    <row r="45" spans="1:28" x14ac:dyDescent="0.3">
      <c r="AB45" t="str">
        <f t="shared" si="0"/>
        <v/>
      </c>
    </row>
    <row r="46" spans="1:28" x14ac:dyDescent="0.3">
      <c r="AB46" t="str">
        <f t="shared" si="0"/>
        <v/>
      </c>
    </row>
    <row r="47" spans="1:28" x14ac:dyDescent="0.3">
      <c r="AB47" t="str">
        <f t="shared" si="0"/>
        <v/>
      </c>
    </row>
    <row r="48" spans="1:28" x14ac:dyDescent="0.3">
      <c r="AB48" t="str">
        <f t="shared" si="0"/>
        <v/>
      </c>
    </row>
    <row r="49" spans="28:28" x14ac:dyDescent="0.3">
      <c r="AB49" t="str">
        <f t="shared" si="0"/>
        <v/>
      </c>
    </row>
    <row r="50" spans="28:28" x14ac:dyDescent="0.3">
      <c r="AB50" t="str">
        <f t="shared" si="0"/>
        <v/>
      </c>
    </row>
    <row r="51" spans="28:28" x14ac:dyDescent="0.3">
      <c r="AB51" t="str">
        <f t="shared" si="0"/>
        <v/>
      </c>
    </row>
    <row r="52" spans="28:28" x14ac:dyDescent="0.3">
      <c r="AB52" t="str">
        <f t="shared" si="0"/>
        <v/>
      </c>
    </row>
    <row r="53" spans="28:28" x14ac:dyDescent="0.3">
      <c r="AB53" t="str">
        <f t="shared" si="0"/>
        <v/>
      </c>
    </row>
    <row r="54" spans="28:28" x14ac:dyDescent="0.3">
      <c r="AB54" t="str">
        <f t="shared" si="0"/>
        <v/>
      </c>
    </row>
    <row r="55" spans="28:28" x14ac:dyDescent="0.3">
      <c r="AB55" t="str">
        <f t="shared" si="0"/>
        <v/>
      </c>
    </row>
    <row r="56" spans="28:28" x14ac:dyDescent="0.3">
      <c r="AB56" t="str">
        <f t="shared" si="0"/>
        <v/>
      </c>
    </row>
    <row r="57" spans="28:28" x14ac:dyDescent="0.3">
      <c r="AB57" t="str">
        <f t="shared" si="0"/>
        <v/>
      </c>
    </row>
    <row r="58" spans="28:28" x14ac:dyDescent="0.3">
      <c r="AB58" t="str">
        <f t="shared" si="0"/>
        <v/>
      </c>
    </row>
    <row r="59" spans="28:28" x14ac:dyDescent="0.3">
      <c r="AB59" t="str">
        <f t="shared" si="0"/>
        <v/>
      </c>
    </row>
    <row r="60" spans="28:28" x14ac:dyDescent="0.3">
      <c r="AB60" t="str">
        <f t="shared" si="0"/>
        <v/>
      </c>
    </row>
    <row r="61" spans="28:28" x14ac:dyDescent="0.3">
      <c r="AB61" t="str">
        <f t="shared" si="0"/>
        <v/>
      </c>
    </row>
    <row r="62" spans="28:28" x14ac:dyDescent="0.3">
      <c r="AB62" t="str">
        <f t="shared" si="0"/>
        <v/>
      </c>
    </row>
    <row r="63" spans="28:28" x14ac:dyDescent="0.3">
      <c r="AB63" t="str">
        <f t="shared" si="0"/>
        <v/>
      </c>
    </row>
    <row r="64" spans="28:28" x14ac:dyDescent="0.3">
      <c r="AB64" t="str">
        <f t="shared" si="0"/>
        <v/>
      </c>
    </row>
    <row r="65" spans="28:28" x14ac:dyDescent="0.3">
      <c r="AB65" t="str">
        <f t="shared" si="0"/>
        <v/>
      </c>
    </row>
    <row r="66" spans="28:28" x14ac:dyDescent="0.3">
      <c r="AB66" t="str">
        <f t="shared" si="0"/>
        <v/>
      </c>
    </row>
    <row r="67" spans="28:28" x14ac:dyDescent="0.3">
      <c r="AB67" t="str">
        <f t="shared" si="0"/>
        <v/>
      </c>
    </row>
  </sheetData>
  <mergeCells count="5">
    <mergeCell ref="B1:E1"/>
    <mergeCell ref="A5:A8"/>
    <mergeCell ref="B2:E2"/>
    <mergeCell ref="A10:A13"/>
    <mergeCell ref="A14:A19"/>
  </mergeCells>
  <conditionalFormatting sqref="C18">
    <cfRule type="cellIs" dxfId="26" priority="32" operator="equal">
      <formula>"L3"</formula>
    </cfRule>
    <cfRule type="cellIs" dxfId="25" priority="33" operator="equal">
      <formula>"L2"</formula>
    </cfRule>
    <cfRule type="cellIs" dxfId="24" priority="34" operator="equal">
      <formula>"L1"</formula>
    </cfRule>
  </conditionalFormatting>
  <conditionalFormatting sqref="F18">
    <cfRule type="cellIs" dxfId="23" priority="29" operator="equal">
      <formula>"Outpost"</formula>
    </cfRule>
    <cfRule type="cellIs" dxfId="22" priority="30" operator="equal">
      <formula>"Hub"</formula>
    </cfRule>
    <cfRule type="cellIs" dxfId="21" priority="31" operator="equal">
      <formula>"Depot"</formula>
    </cfRule>
  </conditionalFormatting>
  <conditionalFormatting sqref="I18">
    <cfRule type="cellIs" dxfId="20" priority="18" operator="equal">
      <formula>"Depot"</formula>
    </cfRule>
    <cfRule type="cellIs" dxfId="19" priority="19" operator="equal">
      <formula>"Human Player"</formula>
    </cfRule>
    <cfRule type="cellIs" dxfId="18" priority="20" operator="equal">
      <formula>"Ground"</formula>
    </cfRule>
    <cfRule type="cellIs" dxfId="17" priority="26" operator="equal">
      <formula>"Both"</formula>
    </cfRule>
    <cfRule type="cellIs" dxfId="16" priority="27" operator="equal">
      <formula>"Ground"</formula>
    </cfRule>
    <cfRule type="cellIs" dxfId="15" priority="28" operator="equal">
      <formula>"Outpost"</formula>
    </cfRule>
  </conditionalFormatting>
  <conditionalFormatting sqref="R2">
    <cfRule type="cellIs" dxfId="14" priority="14" operator="greaterThan">
      <formula>$S$2</formula>
    </cfRule>
  </conditionalFormatting>
  <conditionalFormatting sqref="R3">
    <cfRule type="cellIs" dxfId="13" priority="12" operator="greaterThan">
      <formula>$S$3</formula>
    </cfRule>
  </conditionalFormatting>
  <conditionalFormatting sqref="R4">
    <cfRule type="cellIs" dxfId="12" priority="9" operator="greaterThan">
      <formula>$S$4</formula>
    </cfRule>
  </conditionalFormatting>
  <conditionalFormatting sqref="R5">
    <cfRule type="cellIs" dxfId="11" priority="7" operator="greaterThan">
      <formula>$S$5</formula>
    </cfRule>
  </conditionalFormatting>
  <conditionalFormatting sqref="R9">
    <cfRule type="cellIs" dxfId="10" priority="16" operator="greaterThan">
      <formula>$S$9</formula>
    </cfRule>
  </conditionalFormatting>
  <conditionalFormatting sqref="R10:R14">
    <cfRule type="cellIs" dxfId="9" priority="4" operator="lessThan">
      <formula>0.5</formula>
    </cfRule>
    <cfRule type="cellIs" dxfId="8" priority="5" operator="greaterThan">
      <formula>0.5</formula>
    </cfRule>
  </conditionalFormatting>
  <conditionalFormatting sqref="S2">
    <cfRule type="cellIs" dxfId="7" priority="13" operator="greaterThan">
      <formula>$R$2</formula>
    </cfRule>
  </conditionalFormatting>
  <conditionalFormatting sqref="S3">
    <cfRule type="cellIs" dxfId="6" priority="10" operator="greaterThan">
      <formula>$R$3</formula>
    </cfRule>
  </conditionalFormatting>
  <conditionalFormatting sqref="S4">
    <cfRule type="cellIs" dxfId="5" priority="8" operator="greaterThan">
      <formula>$R$4</formula>
    </cfRule>
  </conditionalFormatting>
  <conditionalFormatting sqref="S5">
    <cfRule type="cellIs" dxfId="4" priority="6" operator="greaterThan">
      <formula>$R$5</formula>
    </cfRule>
  </conditionalFormatting>
  <conditionalFormatting sqref="S9">
    <cfRule type="cellIs" dxfId="3" priority="15" operator="greaterThan">
      <formula>$R$9</formula>
    </cfRule>
  </conditionalFormatting>
  <pageMargins left="0.7" right="0.7" top="0.75" bottom="0.75" header="0.3" footer="0.3"/>
  <pageSetup paperSize="9" orientation="portrait" r:id="rId1"/>
  <ignoredErrors>
    <ignoredError sqref="N31:P31" numberStoredAsText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7F1046-350D-4D6A-AFA8-7E706E8C7DA9}">
          <x14:formula1>
            <xm:f>Lijsten!$A$1:$A$99</xm:f>
          </x14:formula1>
          <xm:sqref>A2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717D-7F1D-4857-8978-44DBF05D8546}">
  <dimension ref="A1:AW123"/>
  <sheetViews>
    <sheetView topLeftCell="A5" zoomScale="70" zoomScaleNormal="70" workbookViewId="0">
      <selection activeCell="B25" sqref="B25:F33"/>
    </sheetView>
  </sheetViews>
  <sheetFormatPr defaultRowHeight="14.4" x14ac:dyDescent="0.3"/>
  <cols>
    <col min="1" max="1" width="11.6640625" bestFit="1" customWidth="1"/>
    <col min="2" max="2" width="15.5546875" bestFit="1" customWidth="1"/>
    <col min="3" max="5" width="16.109375" bestFit="1" customWidth="1"/>
    <col min="6" max="6" width="15.44140625" customWidth="1"/>
    <col min="7" max="7" width="16.109375" bestFit="1" customWidth="1"/>
    <col min="8" max="8" width="10" customWidth="1"/>
    <col min="9" max="9" width="16.44140625" bestFit="1" customWidth="1"/>
    <col min="10" max="10" width="17.109375" customWidth="1"/>
    <col min="11" max="11" width="15.33203125" customWidth="1"/>
    <col min="12" max="12" width="15.5546875" customWidth="1"/>
    <col min="13" max="13" width="6.88671875" bestFit="1" customWidth="1"/>
    <col min="14" max="14" width="14.33203125" bestFit="1" customWidth="1"/>
    <col min="15" max="15" width="8.88671875" bestFit="1" customWidth="1"/>
    <col min="16" max="20" width="7.6640625" bestFit="1" customWidth="1"/>
    <col min="21" max="21" width="6.21875" bestFit="1" customWidth="1"/>
    <col min="22" max="22" width="8.5546875" bestFit="1" customWidth="1"/>
    <col min="23" max="23" width="19.109375" bestFit="1" customWidth="1"/>
    <col min="24" max="24" width="18.21875" bestFit="1" customWidth="1"/>
    <col min="25" max="25" width="13.33203125" bestFit="1" customWidth="1"/>
    <col min="26" max="26" width="16.88671875" bestFit="1" customWidth="1"/>
    <col min="27" max="27" width="24.33203125" bestFit="1" customWidth="1"/>
    <col min="28" max="28" width="11.77734375" bestFit="1" customWidth="1"/>
    <col min="29" max="29" width="16.88671875" bestFit="1" customWidth="1"/>
    <col min="30" max="30" width="12.44140625" bestFit="1" customWidth="1"/>
    <col min="31" max="31" width="9.88671875" bestFit="1" customWidth="1"/>
    <col min="32" max="32" width="43" customWidth="1"/>
    <col min="33" max="33" width="18.88671875" bestFit="1" customWidth="1"/>
    <col min="34" max="34" width="25.44140625" bestFit="1" customWidth="1"/>
    <col min="35" max="35" width="17.6640625" bestFit="1" customWidth="1"/>
    <col min="36" max="36" width="14.33203125" bestFit="1" customWidth="1"/>
    <col min="37" max="38" width="10.77734375" bestFit="1" customWidth="1"/>
    <col min="39" max="39" width="18.21875" bestFit="1" customWidth="1"/>
    <col min="40" max="40" width="27.6640625" bestFit="1" customWidth="1"/>
    <col min="41" max="41" width="44.33203125" bestFit="1" customWidth="1"/>
    <col min="42" max="42" width="17.6640625" bestFit="1" customWidth="1"/>
    <col min="43" max="43" width="22.77734375" bestFit="1" customWidth="1"/>
    <col min="44" max="44" width="107.77734375" bestFit="1" customWidth="1"/>
    <col min="45" max="45" width="14" bestFit="1" customWidth="1"/>
    <col min="46" max="46" width="16.109375" bestFit="1" customWidth="1"/>
    <col min="47" max="47" width="5.21875" bestFit="1" customWidth="1"/>
    <col min="49" max="49" width="15" bestFit="1" customWidth="1"/>
  </cols>
  <sheetData>
    <row r="1" spans="1:49" x14ac:dyDescent="0.3">
      <c r="A1" s="6" t="s">
        <v>29</v>
      </c>
    </row>
    <row r="2" spans="1:49" x14ac:dyDescent="0.3">
      <c r="A2" s="6">
        <v>2</v>
      </c>
      <c r="C2" s="23" t="s">
        <v>30</v>
      </c>
      <c r="D2" s="23" t="s">
        <v>31</v>
      </c>
      <c r="E2" s="163" t="s">
        <v>32</v>
      </c>
      <c r="F2" s="23" t="str">
        <f>IF(G3,"R4","")</f>
        <v/>
      </c>
      <c r="G2" t="str">
        <f>IF(G3,"Playoffs", "Qualifications")</f>
        <v>Qualifications</v>
      </c>
      <c r="I2" s="24" t="s">
        <v>33</v>
      </c>
      <c r="J2" s="24" t="s">
        <v>34</v>
      </c>
      <c r="K2" s="24" t="s">
        <v>35</v>
      </c>
      <c r="L2" s="23" t="str">
        <f>IF(G3,"B4","")</f>
        <v/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V2" s="36" t="s">
        <v>66</v>
      </c>
      <c r="W2" s="17" t="s">
        <v>44</v>
      </c>
      <c r="X2" s="18" t="s">
        <v>45</v>
      </c>
      <c r="Y2" s="18" t="s">
        <v>71</v>
      </c>
      <c r="Z2" s="19" t="s">
        <v>46</v>
      </c>
      <c r="AA2" s="19" t="s">
        <v>47</v>
      </c>
      <c r="AB2" s="19" t="s">
        <v>48</v>
      </c>
      <c r="AC2" s="19" t="s">
        <v>150</v>
      </c>
      <c r="AD2" s="19" t="s">
        <v>49</v>
      </c>
      <c r="AE2" s="19" t="s">
        <v>50</v>
      </c>
      <c r="AF2" s="20" t="s">
        <v>163</v>
      </c>
      <c r="AG2" s="20" t="s">
        <v>51</v>
      </c>
      <c r="AH2" s="20" t="s">
        <v>52</v>
      </c>
      <c r="AI2" s="20" t="s">
        <v>53</v>
      </c>
      <c r="AJ2" s="20" t="s">
        <v>151</v>
      </c>
      <c r="AK2" s="20" t="s">
        <v>55</v>
      </c>
      <c r="AL2" s="20" t="s">
        <v>152</v>
      </c>
      <c r="AM2" s="20" t="s">
        <v>153</v>
      </c>
      <c r="AN2" s="20" t="s">
        <v>154</v>
      </c>
      <c r="AO2" s="20" t="s">
        <v>155</v>
      </c>
      <c r="AP2" s="20" t="s">
        <v>161</v>
      </c>
      <c r="AQ2" s="80" t="s">
        <v>156</v>
      </c>
      <c r="AR2" s="81"/>
    </row>
    <row r="3" spans="1:49" ht="33.6" x14ac:dyDescent="0.65">
      <c r="B3" s="162" t="s">
        <v>686</v>
      </c>
      <c r="C3" s="65">
        <f>IF($G$3,_xlfn.XLOOKUP($B$3, $B$26:$B$33, $C$26:$C$33),_xlfn.XLOOKUP($A$2, $N$3:$N$95, $O$3:$O$95))</f>
        <v>10380</v>
      </c>
      <c r="D3" s="65">
        <f>IF(G3,_xlfn.XLOOKUP($B$3, $B$26:$B$33, $D$26:$D$33),_xlfn.XLOOKUP($A$2, $N$3:$N$95, $Q$3:$Q$95))</f>
        <v>6833</v>
      </c>
      <c r="E3" s="65">
        <f>IF(G3,_xlfn.XLOOKUP($B$3, $B$26:$B$33, $E$26:$E$33),_xlfn.XLOOKUP($A$2, $N$3:$N$95,$T$3:$T$95))</f>
        <v>2662</v>
      </c>
      <c r="F3" s="65" t="str">
        <f>IF(G3,_xlfn.XLOOKUP($B$3, $B$26:$B$33, $F$26:$F$33),"")</f>
        <v/>
      </c>
      <c r="G3" s="47" t="b">
        <v>0</v>
      </c>
      <c r="H3" s="162" t="s">
        <v>684</v>
      </c>
      <c r="I3" s="65">
        <f>_xlfn.XLOOKUP($H$3, $B$26:$B$33, $C$26:$C$33)</f>
        <v>2122</v>
      </c>
      <c r="J3" s="65">
        <f>_xlfn.XLOOKUP($H$3, $B$26:$B$33, $D$26:$D$33)</f>
        <v>7426</v>
      </c>
      <c r="K3" s="65">
        <f>_xlfn.XLOOKUP($H$3, $B$26:$B$33, $E$26:$E$33)</f>
        <v>2478</v>
      </c>
      <c r="L3" s="65" t="str">
        <f>IF(G3,_xlfn.XLOOKUP($H$3, $B$26:$B$33, $F$26:$F$33),"")</f>
        <v/>
      </c>
      <c r="N3">
        <v>1</v>
      </c>
      <c r="O3" s="66">
        <v>6479</v>
      </c>
      <c r="P3">
        <v>5933</v>
      </c>
      <c r="Q3" s="66">
        <v>9091</v>
      </c>
      <c r="R3">
        <v>2840</v>
      </c>
      <c r="S3" s="66">
        <v>2403</v>
      </c>
      <c r="T3" s="66">
        <v>10114</v>
      </c>
      <c r="W3" t="str" cm="1">
        <f t="array" ref="W3:AO3">_xlfn._xlws.FILTER(Tabel2[], Tabel2[team_number]=C3, "Geen resultaten")</f>
        <v>Maud R</v>
      </c>
      <c r="X3" t="str">
        <v>Dragon Hunters</v>
      </c>
      <c r="Y3">
        <v>10380</v>
      </c>
      <c r="Z3">
        <v>107</v>
      </c>
      <c r="AA3">
        <v>22</v>
      </c>
      <c r="AB3">
        <v>27.27</v>
      </c>
      <c r="AC3">
        <v>45</v>
      </c>
      <c r="AD3" t="str">
        <v>Swerve</v>
      </c>
      <c r="AE3" t="str">
        <v>Deptt</v>
      </c>
      <c r="AF3" t="str">
        <v>Le</v>
      </c>
      <c r="AG3">
        <v>0</v>
      </c>
      <c r="AH3">
        <v>0</v>
      </c>
      <c r="AI3" t="str">
        <v>true</v>
      </c>
      <c r="AJ3" t="str">
        <v>false</v>
      </c>
      <c r="AK3" t="str">
        <v>true</v>
      </c>
      <c r="AL3" t="str">
        <v>true</v>
      </c>
      <c r="AM3" t="str">
        <v>false</v>
      </c>
      <c r="AN3" t="str">
        <v>Stationary</v>
      </c>
      <c r="AO3" t="str">
        <v>Triple shooter, extendable intake</v>
      </c>
    </row>
    <row r="4" spans="1:49" x14ac:dyDescent="0.3">
      <c r="A4" s="7" t="s">
        <v>24</v>
      </c>
      <c r="B4" t="s">
        <v>15</v>
      </c>
      <c r="C4" s="8">
        <f>COUNTIF($AO$6:$AO$17,"L1")</f>
        <v>0</v>
      </c>
      <c r="D4" s="8">
        <f>COUNTIF($AO$22:$AO$33,"L1")</f>
        <v>0</v>
      </c>
      <c r="E4" s="62">
        <f>COUNTIF($AO$38:$AO$48,"L1")</f>
        <v>0</v>
      </c>
      <c r="F4" s="62" t="str">
        <f>IF(G3,COUNTIF($AO$54:$AO$64,"L1"),"")</f>
        <v/>
      </c>
      <c r="I4" s="8">
        <f>COUNTIF($AM$70:$AM$80,"L1")</f>
        <v>0</v>
      </c>
      <c r="J4" s="8">
        <f>COUNTIF($AM$86:$AM$95,"L1")</f>
        <v>0</v>
      </c>
      <c r="K4" s="8">
        <f>COUNTIF($AM$95:$AM$110,"L1")</f>
        <v>0</v>
      </c>
      <c r="L4" s="62" t="str">
        <f>IF(G3,COUNTIF($AF$117:$AF$127,"L1"),"")</f>
        <v/>
      </c>
      <c r="N4">
        <v>2</v>
      </c>
      <c r="O4">
        <v>10380</v>
      </c>
      <c r="P4">
        <v>2478</v>
      </c>
      <c r="Q4">
        <v>6833</v>
      </c>
      <c r="R4">
        <v>991</v>
      </c>
      <c r="S4">
        <v>10905</v>
      </c>
      <c r="T4" s="66">
        <v>2662</v>
      </c>
    </row>
    <row r="5" spans="1:49" x14ac:dyDescent="0.3">
      <c r="B5" t="s">
        <v>16</v>
      </c>
      <c r="C5" s="8">
        <f>COUNTIF($AO$6:$AO$17,"L2")</f>
        <v>0</v>
      </c>
      <c r="D5" s="8">
        <f>COUNTIF($AO$22:$AO$33,"L2")</f>
        <v>0</v>
      </c>
      <c r="E5" s="62">
        <f>COUNTIF($AO$38:$AO$48,"L2")</f>
        <v>0</v>
      </c>
      <c r="F5" s="62" t="str">
        <f>IF(G3,COUNTIF($AO$54:$AO$64,"L2"),"")</f>
        <v/>
      </c>
      <c r="I5" s="8">
        <f>COUNTIF($AM$70:$AM$80,"L2")</f>
        <v>0</v>
      </c>
      <c r="J5" s="8">
        <f>COUNTIF($AM$86:$AM$95,"L2")</f>
        <v>0</v>
      </c>
      <c r="K5" s="8">
        <f>COUNTIF($AM$95:$AM$110,"L2")</f>
        <v>0</v>
      </c>
      <c r="L5" s="8" t="str">
        <f>IF(G3,COUNTIF($AF$117:$AF$127,"L2"),"")</f>
        <v/>
      </c>
      <c r="N5">
        <v>3</v>
      </c>
      <c r="O5">
        <v>9704</v>
      </c>
      <c r="P5">
        <v>3424</v>
      </c>
      <c r="Q5" s="66">
        <v>987</v>
      </c>
      <c r="R5" s="66">
        <v>10506</v>
      </c>
      <c r="S5" s="66">
        <v>9059</v>
      </c>
      <c r="T5">
        <v>7426</v>
      </c>
      <c r="W5" s="31" t="s">
        <v>0</v>
      </c>
      <c r="X5" s="31" t="s">
        <v>1</v>
      </c>
      <c r="Y5" s="31" t="s">
        <v>2</v>
      </c>
      <c r="Z5" s="84" t="s">
        <v>3</v>
      </c>
      <c r="AA5" s="31" t="s">
        <v>4</v>
      </c>
      <c r="AB5" s="31" t="s">
        <v>5</v>
      </c>
      <c r="AC5" s="31" t="s">
        <v>6</v>
      </c>
      <c r="AD5" s="32" t="s">
        <v>7</v>
      </c>
      <c r="AE5" s="32" t="s">
        <v>8</v>
      </c>
      <c r="AF5" s="32" t="s">
        <v>9</v>
      </c>
      <c r="AG5" s="33" t="s">
        <v>72</v>
      </c>
      <c r="AH5" s="33" t="s">
        <v>73</v>
      </c>
      <c r="AI5" s="33" t="s">
        <v>74</v>
      </c>
      <c r="AJ5" s="85" t="s">
        <v>180</v>
      </c>
      <c r="AK5" s="85" t="s">
        <v>181</v>
      </c>
      <c r="AL5" s="85" t="s">
        <v>182</v>
      </c>
      <c r="AM5" s="33" t="s">
        <v>75</v>
      </c>
      <c r="AN5" s="33" t="s">
        <v>76</v>
      </c>
      <c r="AO5" s="34" t="s">
        <v>11</v>
      </c>
      <c r="AP5" s="34" t="s">
        <v>12</v>
      </c>
      <c r="AQ5" s="34" t="s">
        <v>13</v>
      </c>
      <c r="AR5" s="86" t="s">
        <v>14</v>
      </c>
      <c r="AS5" s="35" t="s">
        <v>148</v>
      </c>
    </row>
    <row r="6" spans="1:49" x14ac:dyDescent="0.3">
      <c r="B6" t="s">
        <v>17</v>
      </c>
      <c r="C6" s="8">
        <f>COUNTIF($AO$6:$AO$17,"L3")</f>
        <v>0</v>
      </c>
      <c r="D6" s="8">
        <f>COUNTIF($AO$22:$AO$33,"L3")</f>
        <v>0</v>
      </c>
      <c r="E6" s="62">
        <f>COUNTIF($AO$38:$AO$48,"L3")</f>
        <v>0</v>
      </c>
      <c r="F6" s="62" t="str">
        <f>IF(G3,COUNTIF($AO$54:$AO$64,"L3"),"")</f>
        <v/>
      </c>
      <c r="I6" s="8">
        <f>COUNTIF($AM$70:$AM$80,"L3")</f>
        <v>0</v>
      </c>
      <c r="J6" s="8">
        <f>COUNTIF($AM$86:$AM$95,"L3")</f>
        <v>0</v>
      </c>
      <c r="K6" s="8">
        <f>COUNTIF($AM$95:$AM$110,"L3")</f>
        <v>0</v>
      </c>
      <c r="L6" s="8" t="str">
        <f>IF(G3,COUNTIF($AF$117:$AF$127,"L3"),"")</f>
        <v/>
      </c>
      <c r="N6">
        <v>4</v>
      </c>
      <c r="O6">
        <v>996</v>
      </c>
      <c r="P6">
        <v>244</v>
      </c>
      <c r="Q6" s="66">
        <v>8717</v>
      </c>
      <c r="R6" s="66">
        <v>288</v>
      </c>
      <c r="S6">
        <v>698</v>
      </c>
      <c r="T6" s="66">
        <v>2486</v>
      </c>
      <c r="W6" t="str" cm="1">
        <f t="array" ref="W6:AS10">_xlfn._xlws.FILTER(Tabel1[], Tabel1[Team Number]=C3, "Geen resultaten")</f>
        <v>Jippe</v>
      </c>
      <c r="X6">
        <v>26</v>
      </c>
      <c r="Y6" t="str">
        <v>B3</v>
      </c>
      <c r="Z6">
        <v>10380</v>
      </c>
      <c r="AA6" t="str">
        <v>O</v>
      </c>
      <c r="AB6" t="str">
        <v>false</v>
      </c>
      <c r="AC6" t="str">
        <v>true</v>
      </c>
      <c r="AD6" t="str">
        <v>false</v>
      </c>
      <c r="AE6" t="str">
        <v>false</v>
      </c>
      <c r="AF6" t="str">
        <v>No attempt</v>
      </c>
      <c r="AG6" t="str">
        <v>true</v>
      </c>
      <c r="AH6" t="str">
        <v>false</v>
      </c>
      <c r="AI6" t="str">
        <v>false</v>
      </c>
      <c r="AJ6">
        <v>0</v>
      </c>
      <c r="AK6">
        <v>0</v>
      </c>
      <c r="AL6">
        <v>30</v>
      </c>
      <c r="AM6">
        <v>51</v>
      </c>
      <c r="AN6" t="str">
        <v>false</v>
      </c>
      <c r="AO6" t="str">
        <v>NA</v>
      </c>
      <c r="AP6" t="str">
        <v>false</v>
      </c>
      <c r="AQ6" t="str">
        <v>false</v>
      </c>
      <c r="AR6" t="str">
        <v>Kinda died, had trouble moving</v>
      </c>
      <c r="AS6">
        <v>4</v>
      </c>
      <c r="AU6">
        <f>IF(COUNT(AJ6:AL6)=0,"",SUM(AJ6:AL6))</f>
        <v>30</v>
      </c>
    </row>
    <row r="7" spans="1:49" x14ac:dyDescent="0.3">
      <c r="A7" t="s">
        <v>27</v>
      </c>
      <c r="B7" s="88" t="s">
        <v>10</v>
      </c>
      <c r="C7" s="63">
        <f>AVERAGE(AJ6:AJ17)</f>
        <v>24.2</v>
      </c>
      <c r="D7" s="63">
        <f>AVERAGE(AJ22:AJ33)</f>
        <v>0.83333333333333337</v>
      </c>
      <c r="E7" s="8">
        <f>AVERAGE(AJ38:AJ48)</f>
        <v>7.5</v>
      </c>
      <c r="F7" s="8" t="str">
        <f>IF(G3,AVERAGE(AJ54:AJ64),"")</f>
        <v/>
      </c>
      <c r="I7" s="63">
        <f>AVERAGE($AJ$70:$AJ$80)</f>
        <v>55.4</v>
      </c>
      <c r="J7" s="63">
        <f>AVERAGE($AJ$86:$AJ$95)</f>
        <v>1.8</v>
      </c>
      <c r="K7" s="63">
        <f>AVERAGE($AJ$95:$AJ$110)</f>
        <v>2.4</v>
      </c>
      <c r="L7" s="8" t="str">
        <f>IF(G3,AVERAGE($AJ$117:$AJ$127),"")</f>
        <v/>
      </c>
      <c r="N7">
        <v>5</v>
      </c>
      <c r="O7">
        <v>3019</v>
      </c>
      <c r="P7" s="66">
        <v>6352</v>
      </c>
      <c r="Q7" s="66">
        <v>1165</v>
      </c>
      <c r="R7" s="66">
        <v>3944</v>
      </c>
      <c r="S7" s="66">
        <v>9534</v>
      </c>
      <c r="T7">
        <v>6413</v>
      </c>
      <c r="W7" t="str">
        <v>AA</v>
      </c>
      <c r="X7">
        <v>37</v>
      </c>
      <c r="Y7" t="str">
        <v>R2</v>
      </c>
      <c r="Z7">
        <v>10380</v>
      </c>
      <c r="AA7" t="str">
        <v>H</v>
      </c>
      <c r="AB7" t="str">
        <v>false</v>
      </c>
      <c r="AC7" t="str">
        <v>true</v>
      </c>
      <c r="AD7" t="str">
        <v>false</v>
      </c>
      <c r="AE7" t="str">
        <v>true</v>
      </c>
      <c r="AF7" t="str">
        <v>NA</v>
      </c>
      <c r="AG7" t="str">
        <v>true</v>
      </c>
      <c r="AH7" t="str">
        <v>false</v>
      </c>
      <c r="AI7" t="str">
        <v>false</v>
      </c>
      <c r="AJ7">
        <v>0</v>
      </c>
      <c r="AK7">
        <v>0</v>
      </c>
      <c r="AL7">
        <v>0</v>
      </c>
      <c r="AM7">
        <v>100</v>
      </c>
      <c r="AN7" t="str">
        <v>false</v>
      </c>
      <c r="AO7" t="str">
        <v>NA</v>
      </c>
      <c r="AP7" t="str">
        <v>false</v>
      </c>
      <c r="AQ7" t="str">
        <v>false</v>
      </c>
      <c r="AR7" t="str">
        <v>Had good support an could»ve done good just didn»t do much of anything</v>
      </c>
      <c r="AS7">
        <v>2</v>
      </c>
      <c r="AU7">
        <f>IF(COUNT(AJ7:AL7)=0,"",SUM(AJ7:AL7))</f>
        <v>0</v>
      </c>
    </row>
    <row r="8" spans="1:49" x14ac:dyDescent="0.3">
      <c r="A8" t="s">
        <v>27</v>
      </c>
      <c r="B8" s="7" t="s">
        <v>65</v>
      </c>
      <c r="C8" s="8" t="str">
        <f>AD3</f>
        <v>Swerve</v>
      </c>
      <c r="D8" s="8">
        <f>AD19</f>
        <v>0</v>
      </c>
      <c r="E8" s="8" t="str">
        <f>AD35</f>
        <v>Swerve</v>
      </c>
      <c r="F8" s="8" t="str">
        <f>IF(G3,AD51,"")</f>
        <v/>
      </c>
      <c r="I8" s="14">
        <f>$AD$67</f>
        <v>0</v>
      </c>
      <c r="J8" s="14" t="str">
        <f>AD83</f>
        <v>Swerve</v>
      </c>
      <c r="K8" s="14" t="str">
        <f>AD98</f>
        <v>Swerve</v>
      </c>
      <c r="L8" s="8" t="str">
        <f>IF(G3,AD114,"")</f>
        <v/>
      </c>
      <c r="N8">
        <v>6</v>
      </c>
      <c r="O8">
        <v>10988</v>
      </c>
      <c r="P8">
        <v>10980</v>
      </c>
      <c r="Q8">
        <v>3216</v>
      </c>
      <c r="R8" s="66">
        <v>11176</v>
      </c>
      <c r="S8" s="66">
        <v>8012</v>
      </c>
      <c r="T8" s="66">
        <v>11100</v>
      </c>
      <c r="W8" t="str">
        <v>JV</v>
      </c>
      <c r="X8">
        <v>45</v>
      </c>
      <c r="Y8" t="str">
        <v>R3</v>
      </c>
      <c r="Z8">
        <v>10380</v>
      </c>
      <c r="AA8" t="str">
        <v>H</v>
      </c>
      <c r="AB8" t="str">
        <v>false</v>
      </c>
      <c r="AC8" t="str">
        <v>true</v>
      </c>
      <c r="AD8" t="str">
        <v>true</v>
      </c>
      <c r="AE8" t="str">
        <v>true</v>
      </c>
      <c r="AF8" t="str">
        <v>L1</v>
      </c>
      <c r="AG8" t="str">
        <v>true</v>
      </c>
      <c r="AH8" t="str">
        <v>false</v>
      </c>
      <c r="AI8" t="str">
        <v>false</v>
      </c>
      <c r="AJ8">
        <v>121</v>
      </c>
      <c r="AK8">
        <v>0</v>
      </c>
      <c r="AL8">
        <v>0</v>
      </c>
      <c r="AM8">
        <v>94</v>
      </c>
      <c r="AN8" t="str">
        <v>false</v>
      </c>
      <c r="AO8" t="str">
        <v>NA</v>
      </c>
      <c r="AP8" t="str">
        <v>false</v>
      </c>
      <c r="AQ8" t="str">
        <v>false</v>
      </c>
      <c r="AR8" t="str">
        <v xml:space="preserve">Absolute flawless offense </v>
      </c>
      <c r="AS8">
        <v>5</v>
      </c>
      <c r="AU8">
        <f t="shared" ref="AU8:AU48" si="0">IF(COUNT(AJ8:AL8)=0,"",SUM(AJ8:AL8))</f>
        <v>121</v>
      </c>
    </row>
    <row r="9" spans="1:49" x14ac:dyDescent="0.3">
      <c r="B9" t="s">
        <v>185</v>
      </c>
      <c r="C9" s="8">
        <f>AW10</f>
        <v>32.4</v>
      </c>
      <c r="D9" s="8">
        <f>AW25</f>
        <v>15.5</v>
      </c>
      <c r="E9" s="8">
        <f>AW43</f>
        <v>7.5</v>
      </c>
      <c r="F9" s="8" t="str">
        <f>IF(G3,AW59,"")</f>
        <v/>
      </c>
      <c r="I9" s="8">
        <f>AW75</f>
        <v>221.4</v>
      </c>
      <c r="J9" s="8">
        <f>AW91</f>
        <v>95.2</v>
      </c>
      <c r="K9" s="8">
        <f>AW107</f>
        <v>23.4</v>
      </c>
      <c r="L9" s="8" t="str">
        <f>IF(G3,AW123,"")</f>
        <v/>
      </c>
      <c r="N9">
        <v>7</v>
      </c>
      <c r="O9">
        <v>10183</v>
      </c>
      <c r="P9">
        <v>2122</v>
      </c>
      <c r="Q9">
        <v>60</v>
      </c>
      <c r="R9" s="66">
        <v>11479</v>
      </c>
      <c r="S9">
        <v>9777</v>
      </c>
      <c r="T9" s="66">
        <v>9501</v>
      </c>
      <c r="W9" t="str">
        <v xml:space="preserve">LeoV </v>
      </c>
      <c r="X9">
        <v>53</v>
      </c>
      <c r="Y9" t="str">
        <v>B2</v>
      </c>
      <c r="Z9">
        <v>10380</v>
      </c>
      <c r="AA9" t="str">
        <v>D</v>
      </c>
      <c r="AB9" t="str">
        <v>false</v>
      </c>
      <c r="AC9" t="str">
        <v>true</v>
      </c>
      <c r="AD9" t="str">
        <v>false</v>
      </c>
      <c r="AE9" t="str">
        <v>false</v>
      </c>
      <c r="AF9" t="str">
        <v>NA</v>
      </c>
      <c r="AG9" t="str">
        <v>true</v>
      </c>
      <c r="AH9" t="str">
        <v>false</v>
      </c>
      <c r="AI9" t="str">
        <v>false</v>
      </c>
      <c r="AJ9">
        <v>0</v>
      </c>
      <c r="AK9">
        <v>6</v>
      </c>
      <c r="AL9">
        <v>5</v>
      </c>
      <c r="AM9">
        <v>21</v>
      </c>
      <c r="AN9" t="str">
        <v>false</v>
      </c>
      <c r="AO9" t="str">
        <v>NA</v>
      </c>
      <c r="AP9" t="str">
        <v>false</v>
      </c>
      <c r="AQ9" t="str">
        <v>false</v>
      </c>
      <c r="AR9" t="str">
        <v>Faulty shooter no active participation in the game</v>
      </c>
      <c r="AS9">
        <v>2</v>
      </c>
      <c r="AU9">
        <f t="shared" si="0"/>
        <v>11</v>
      </c>
      <c r="AW9" s="93" t="s">
        <v>188</v>
      </c>
    </row>
    <row r="10" spans="1:49" x14ac:dyDescent="0.3">
      <c r="B10" t="s">
        <v>300</v>
      </c>
      <c r="C10" s="8">
        <f>AVERAGE(AM6:AM17)</f>
        <v>73.2</v>
      </c>
      <c r="D10" s="8">
        <f>AVERAGE(AM22:AM33)</f>
        <v>64.333333333333329</v>
      </c>
      <c r="E10" s="8">
        <f>AVERAGE(AM38:AM48)</f>
        <v>53.666666666666664</v>
      </c>
      <c r="F10" s="8" t="str">
        <f>IF(G3,AVERAGE(AM54:AM64),"")</f>
        <v/>
      </c>
      <c r="I10" s="8">
        <f>AVERAGE(AM70:AM81)</f>
        <v>92.6</v>
      </c>
      <c r="J10" s="8">
        <f>AVERAGE(AM86:AM96)</f>
        <v>88.2</v>
      </c>
      <c r="K10" s="8">
        <f>AVERAGE(AM95:AM110)</f>
        <v>65.599999999999994</v>
      </c>
      <c r="L10" s="8" t="str">
        <f>IF(G3,AVERAGE(AM117:AM127),"")</f>
        <v/>
      </c>
      <c r="N10">
        <v>8</v>
      </c>
      <c r="O10" s="66">
        <v>1212</v>
      </c>
      <c r="P10">
        <v>4731</v>
      </c>
      <c r="Q10">
        <v>7333</v>
      </c>
      <c r="R10">
        <v>2080</v>
      </c>
      <c r="S10">
        <v>10933</v>
      </c>
      <c r="T10">
        <v>1828</v>
      </c>
      <c r="W10" t="str">
        <v>BW</v>
      </c>
      <c r="X10">
        <v>74</v>
      </c>
      <c r="Y10" t="str">
        <v>R1</v>
      </c>
      <c r="Z10">
        <v>10380</v>
      </c>
      <c r="AA10" t="str">
        <v>H</v>
      </c>
      <c r="AB10" t="str">
        <v>false</v>
      </c>
      <c r="AC10" t="str">
        <v>false</v>
      </c>
      <c r="AD10" t="str">
        <v>false</v>
      </c>
      <c r="AE10" t="str">
        <v>false</v>
      </c>
      <c r="AF10" t="str">
        <v>NA</v>
      </c>
      <c r="AG10" t="str">
        <v>false</v>
      </c>
      <c r="AH10" t="str">
        <v>false</v>
      </c>
      <c r="AI10" t="str">
        <v>false</v>
      </c>
      <c r="AJ10">
        <v>0</v>
      </c>
      <c r="AK10">
        <v>0</v>
      </c>
      <c r="AL10">
        <v>0</v>
      </c>
      <c r="AM10">
        <v>100</v>
      </c>
      <c r="AN10" t="str">
        <v>false</v>
      </c>
      <c r="AO10" t="str">
        <v>NA</v>
      </c>
      <c r="AP10" t="str">
        <v>true</v>
      </c>
      <c r="AQ10" t="str">
        <v>false</v>
      </c>
      <c r="AR10" t="str">
        <v>Broken hopper, did not shoot, barely gave fuel to human players.</v>
      </c>
      <c r="AS10">
        <v>1</v>
      </c>
      <c r="AU10">
        <f t="shared" si="0"/>
        <v>0</v>
      </c>
      <c r="AW10" s="93">
        <f>AVERAGE(AU6:AU17)</f>
        <v>32.4</v>
      </c>
    </row>
    <row r="11" spans="1:49" x14ac:dyDescent="0.3">
      <c r="A11" s="7" t="s">
        <v>175</v>
      </c>
      <c r="B11" t="s">
        <v>18</v>
      </c>
      <c r="C11" s="8">
        <f>COUNTIF($AA$6:$AA$17,"D")</f>
        <v>1</v>
      </c>
      <c r="D11" s="8">
        <f>COUNTIF($AA$22:$AA$33,"D")</f>
        <v>0</v>
      </c>
      <c r="E11" s="8">
        <f>COUNTIF($AA$38:$AA$48,"D")</f>
        <v>1</v>
      </c>
      <c r="F11" s="8" t="str">
        <f>IF(G3,COUNTIF($AA$54:$AA$64,"D"),"")</f>
        <v/>
      </c>
      <c r="I11" s="8">
        <f>COUNTIF($AA$70:$AA$80,"D")</f>
        <v>1</v>
      </c>
      <c r="J11" s="8">
        <f>COUNTIF($AA$86:$AA$95,"D")</f>
        <v>1</v>
      </c>
      <c r="K11" s="8">
        <f>COUNTIF($AA$101:$AA$111,"D")</f>
        <v>4</v>
      </c>
      <c r="L11" s="8" t="str">
        <f>IF(G3,COUNTIF($AA$117:$AA$127,"D"),"")</f>
        <v/>
      </c>
      <c r="N11">
        <v>9</v>
      </c>
      <c r="O11">
        <v>4146</v>
      </c>
      <c r="P11" s="66">
        <v>3009</v>
      </c>
      <c r="Q11">
        <v>3243</v>
      </c>
      <c r="R11">
        <v>7755</v>
      </c>
      <c r="S11">
        <v>3245</v>
      </c>
      <c r="T11" s="66">
        <v>1410</v>
      </c>
      <c r="AU11" t="str">
        <f t="shared" si="0"/>
        <v/>
      </c>
    </row>
    <row r="12" spans="1:49" x14ac:dyDescent="0.3">
      <c r="B12" t="s">
        <v>19</v>
      </c>
      <c r="C12" s="8">
        <f>COUNTIF($AA$6:$AA$17,"H")</f>
        <v>3</v>
      </c>
      <c r="D12" s="8">
        <f>COUNTIF($AA$22:$AA$33,"H")</f>
        <v>5</v>
      </c>
      <c r="E12" s="8">
        <f>COUNTIF($AA$38:$AA$48,"H")</f>
        <v>4</v>
      </c>
      <c r="F12" s="8" t="str">
        <f>IF(G3,COUNTIF($AA$54:$AA$64,"H"),"")</f>
        <v/>
      </c>
      <c r="I12" s="8">
        <f>COUNTIF($AA$70:$AA$80,"h")</f>
        <v>2</v>
      </c>
      <c r="J12" s="8">
        <f>COUNTIF($AA$86:$AA$95,"H")</f>
        <v>3</v>
      </c>
      <c r="K12" s="8">
        <f>COUNTIF($AA$101:$AA$111,"h")</f>
        <v>0</v>
      </c>
      <c r="L12" s="8" t="str">
        <f>IF(G3,COUNTIF($AA$117:$AA$127,"h"),"")</f>
        <v/>
      </c>
      <c r="N12">
        <v>10</v>
      </c>
      <c r="O12">
        <v>5933</v>
      </c>
      <c r="P12">
        <v>7425</v>
      </c>
      <c r="Q12">
        <v>2478</v>
      </c>
      <c r="R12" s="66">
        <v>9059</v>
      </c>
      <c r="S12">
        <v>6833</v>
      </c>
      <c r="T12">
        <v>3424</v>
      </c>
      <c r="AU12" t="str">
        <f t="shared" si="0"/>
        <v/>
      </c>
    </row>
    <row r="13" spans="1:49" x14ac:dyDescent="0.3">
      <c r="B13" t="s">
        <v>20</v>
      </c>
      <c r="C13" s="8">
        <f>COUNTIF($AA$6:$AA$17,"O")</f>
        <v>1</v>
      </c>
      <c r="D13" s="8">
        <f>COUNTIF($AA$22:$AA$33,"O")</f>
        <v>1</v>
      </c>
      <c r="E13" s="8">
        <f>COUNTIF($AA$38:$AA$48,"O")</f>
        <v>1</v>
      </c>
      <c r="F13" s="8" t="str">
        <f>IF(G3,COUNTIF($AA$54:$AA$64,"O"),"")</f>
        <v/>
      </c>
      <c r="I13" s="8">
        <f>COUNTIF($AA$70:$AA$80,"o")</f>
        <v>2</v>
      </c>
      <c r="J13" s="8">
        <f>COUNTIF($AA$86:$AA$95,"O")</f>
        <v>1</v>
      </c>
      <c r="K13" s="8">
        <f>COUNTIF($AA$101:$AA$111,"o")</f>
        <v>1</v>
      </c>
      <c r="L13" s="8" t="str">
        <f>IF(G3,COUNTIF($AA$117:$AA$127,"o"),"")</f>
        <v/>
      </c>
      <c r="N13">
        <v>11</v>
      </c>
      <c r="O13" s="66">
        <v>9534</v>
      </c>
      <c r="P13">
        <v>996</v>
      </c>
      <c r="Q13">
        <v>9704</v>
      </c>
      <c r="R13" s="66">
        <v>9091</v>
      </c>
      <c r="S13">
        <v>6413</v>
      </c>
      <c r="T13">
        <v>10905</v>
      </c>
      <c r="AU13" t="str">
        <f t="shared" si="0"/>
        <v/>
      </c>
    </row>
    <row r="14" spans="1:49" x14ac:dyDescent="0.3">
      <c r="N14">
        <v>12</v>
      </c>
      <c r="O14" s="66">
        <v>3944</v>
      </c>
      <c r="P14" s="66">
        <v>288</v>
      </c>
      <c r="Q14" s="66">
        <v>6479</v>
      </c>
      <c r="R14">
        <v>244</v>
      </c>
      <c r="S14">
        <v>991</v>
      </c>
      <c r="T14" s="66">
        <v>11176</v>
      </c>
      <c r="AU14" t="str">
        <f t="shared" si="0"/>
        <v/>
      </c>
    </row>
    <row r="15" spans="1:49" x14ac:dyDescent="0.3">
      <c r="N15">
        <v>13</v>
      </c>
      <c r="O15" s="66">
        <v>2403</v>
      </c>
      <c r="P15" s="66">
        <v>2486</v>
      </c>
      <c r="Q15">
        <v>10988</v>
      </c>
      <c r="R15" s="66">
        <v>1165</v>
      </c>
      <c r="S15" s="66">
        <v>8717</v>
      </c>
      <c r="T15" s="66">
        <v>2122</v>
      </c>
      <c r="AU15" t="str">
        <f t="shared" si="0"/>
        <v/>
      </c>
    </row>
    <row r="16" spans="1:49" x14ac:dyDescent="0.3">
      <c r="N16">
        <v>14</v>
      </c>
      <c r="O16" s="66">
        <v>10506</v>
      </c>
      <c r="P16">
        <v>10183</v>
      </c>
      <c r="Q16" s="66">
        <v>8012</v>
      </c>
      <c r="R16">
        <v>7426</v>
      </c>
      <c r="S16">
        <v>2080</v>
      </c>
      <c r="T16">
        <v>3019</v>
      </c>
      <c r="AU16" t="str">
        <f t="shared" si="0"/>
        <v/>
      </c>
    </row>
    <row r="17" spans="2:49" ht="67.8" customHeight="1" x14ac:dyDescent="0.3">
      <c r="B17" s="7" t="s">
        <v>162</v>
      </c>
      <c r="C17" s="42" t="str">
        <f>AF3</f>
        <v>Le</v>
      </c>
      <c r="D17" s="42">
        <f>AF19</f>
        <v>0</v>
      </c>
      <c r="E17" s="42" t="str">
        <f>AF35</f>
        <v xml:space="preserve">Score preload , move to neuttral zone </v>
      </c>
      <c r="F17" s="42" t="str">
        <f>IF(G3,AF51,"")</f>
        <v/>
      </c>
      <c r="I17" s="42">
        <f>AF67</f>
        <v>0</v>
      </c>
      <c r="J17" s="42" t="str">
        <f>AF83</f>
        <v>2 version, middle and shoot Middle , shoot back and climb</v>
      </c>
      <c r="K17" s="42" t="str">
        <f>AF98</f>
        <v>Middle- shoot preload, Trench- picks up balls and shoots</v>
      </c>
      <c r="L17" t="str">
        <f>IF(G3,AF114,"")</f>
        <v/>
      </c>
      <c r="N17">
        <v>15</v>
      </c>
      <c r="O17">
        <v>10114</v>
      </c>
      <c r="P17">
        <v>9501</v>
      </c>
      <c r="Q17" s="66">
        <v>1212</v>
      </c>
      <c r="R17" s="66">
        <v>2662</v>
      </c>
      <c r="S17">
        <v>7333</v>
      </c>
      <c r="T17">
        <v>1410</v>
      </c>
      <c r="AU17" t="str">
        <f t="shared" si="0"/>
        <v/>
      </c>
    </row>
    <row r="18" spans="2:49" x14ac:dyDescent="0.3">
      <c r="B18" s="7" t="s">
        <v>51</v>
      </c>
      <c r="C18" s="42">
        <f>AG3</f>
        <v>0</v>
      </c>
      <c r="D18" s="42">
        <f>AG19</f>
        <v>0</v>
      </c>
      <c r="E18" s="42" t="str">
        <f>AG35</f>
        <v>No</v>
      </c>
      <c r="F18" t="str">
        <f>IF(G3,AG51,"")</f>
        <v/>
      </c>
      <c r="I18">
        <f>AG67</f>
        <v>0</v>
      </c>
      <c r="J18" t="str">
        <f>AG83</f>
        <v>L1</v>
      </c>
      <c r="K18" t="str">
        <f>AG98</f>
        <v>-</v>
      </c>
      <c r="L18" t="str">
        <f>IF(G3,AG114,"")</f>
        <v/>
      </c>
      <c r="N18">
        <v>16</v>
      </c>
      <c r="O18" s="66">
        <v>6352</v>
      </c>
      <c r="P18" s="66">
        <v>7755</v>
      </c>
      <c r="Q18">
        <v>4146</v>
      </c>
      <c r="R18">
        <v>10933</v>
      </c>
      <c r="S18">
        <v>60</v>
      </c>
      <c r="T18">
        <v>3216</v>
      </c>
      <c r="V18" s="37" t="s">
        <v>67</v>
      </c>
      <c r="W18" s="17" t="s">
        <v>44</v>
      </c>
      <c r="X18" s="18" t="s">
        <v>45</v>
      </c>
      <c r="Y18" s="18" t="s">
        <v>71</v>
      </c>
      <c r="Z18" s="19" t="s">
        <v>46</v>
      </c>
      <c r="AA18" s="19" t="s">
        <v>47</v>
      </c>
      <c r="AB18" s="19" t="s">
        <v>48</v>
      </c>
      <c r="AC18" s="19" t="s">
        <v>150</v>
      </c>
      <c r="AD18" s="19" t="s">
        <v>49</v>
      </c>
      <c r="AE18" s="19" t="s">
        <v>50</v>
      </c>
      <c r="AF18" s="20" t="s">
        <v>163</v>
      </c>
      <c r="AG18" s="20" t="s">
        <v>51</v>
      </c>
      <c r="AH18" s="20" t="s">
        <v>52</v>
      </c>
      <c r="AI18" s="20" t="s">
        <v>53</v>
      </c>
      <c r="AJ18" s="20" t="s">
        <v>151</v>
      </c>
      <c r="AK18" s="20" t="s">
        <v>55</v>
      </c>
      <c r="AL18" s="20" t="s">
        <v>152</v>
      </c>
      <c r="AM18" s="20" t="s">
        <v>153</v>
      </c>
      <c r="AN18" s="20" t="s">
        <v>154</v>
      </c>
      <c r="AO18" s="20" t="s">
        <v>155</v>
      </c>
      <c r="AP18" s="20" t="s">
        <v>161</v>
      </c>
      <c r="AQ18" s="80" t="s">
        <v>156</v>
      </c>
      <c r="AR18" s="81"/>
      <c r="AU18" t="str">
        <f t="shared" si="0"/>
        <v/>
      </c>
    </row>
    <row r="19" spans="2:49" x14ac:dyDescent="0.3">
      <c r="N19">
        <v>17</v>
      </c>
      <c r="O19">
        <v>698</v>
      </c>
      <c r="P19" s="66">
        <v>987</v>
      </c>
      <c r="Q19" s="66">
        <v>11479</v>
      </c>
      <c r="R19">
        <v>10980</v>
      </c>
      <c r="S19">
        <v>1828</v>
      </c>
      <c r="T19">
        <v>9777</v>
      </c>
      <c r="W19" t="str" cm="1">
        <f t="array" ref="W19">_xlfn._xlws.FILTER(Tabel2[], Tabel2[team_number]=D3, "Geen resultaten")</f>
        <v>Geen resultaten</v>
      </c>
      <c r="AU19" t="str">
        <f t="shared" si="0"/>
        <v/>
      </c>
    </row>
    <row r="20" spans="2:49" x14ac:dyDescent="0.3">
      <c r="N20">
        <v>18</v>
      </c>
      <c r="O20">
        <v>3243</v>
      </c>
      <c r="P20" s="66">
        <v>11100</v>
      </c>
      <c r="Q20">
        <v>4731</v>
      </c>
      <c r="R20" s="66">
        <v>7425</v>
      </c>
      <c r="S20" s="66">
        <v>3009</v>
      </c>
      <c r="T20">
        <v>2840</v>
      </c>
      <c r="AU20" t="str">
        <f t="shared" si="0"/>
        <v/>
      </c>
    </row>
    <row r="21" spans="2:49" x14ac:dyDescent="0.3">
      <c r="N21">
        <v>19</v>
      </c>
      <c r="O21" s="66">
        <v>1165</v>
      </c>
      <c r="P21">
        <v>3245</v>
      </c>
      <c r="Q21" s="66">
        <v>9059</v>
      </c>
      <c r="R21" s="66">
        <v>8717</v>
      </c>
      <c r="S21" s="66">
        <v>6479</v>
      </c>
      <c r="T21" s="66">
        <v>10380</v>
      </c>
      <c r="W21" s="31" t="s">
        <v>0</v>
      </c>
      <c r="X21" s="31" t="s">
        <v>1</v>
      </c>
      <c r="Y21" s="31" t="s">
        <v>2</v>
      </c>
      <c r="Z21" s="84" t="s">
        <v>3</v>
      </c>
      <c r="AA21" s="31" t="s">
        <v>4</v>
      </c>
      <c r="AB21" s="31" t="s">
        <v>5</v>
      </c>
      <c r="AC21" s="31" t="s">
        <v>6</v>
      </c>
      <c r="AD21" s="32" t="s">
        <v>7</v>
      </c>
      <c r="AE21" s="32" t="s">
        <v>8</v>
      </c>
      <c r="AF21" s="32" t="s">
        <v>9</v>
      </c>
      <c r="AG21" s="33" t="s">
        <v>72</v>
      </c>
      <c r="AH21" s="33" t="s">
        <v>73</v>
      </c>
      <c r="AI21" s="33" t="s">
        <v>74</v>
      </c>
      <c r="AJ21" s="85" t="s">
        <v>180</v>
      </c>
      <c r="AK21" s="85" t="s">
        <v>181</v>
      </c>
      <c r="AL21" s="85" t="s">
        <v>182</v>
      </c>
      <c r="AM21" s="33" t="s">
        <v>75</v>
      </c>
      <c r="AN21" s="33" t="s">
        <v>76</v>
      </c>
      <c r="AO21" s="34" t="s">
        <v>11</v>
      </c>
      <c r="AP21" s="34" t="s">
        <v>12</v>
      </c>
      <c r="AQ21" s="34" t="s">
        <v>13</v>
      </c>
      <c r="AR21" s="86" t="s">
        <v>14</v>
      </c>
      <c r="AS21" s="35" t="s">
        <v>148</v>
      </c>
      <c r="AU21" t="str">
        <f t="shared" si="0"/>
        <v/>
      </c>
    </row>
    <row r="22" spans="2:49" x14ac:dyDescent="0.3">
      <c r="N22">
        <v>20</v>
      </c>
      <c r="O22" s="66">
        <v>2486</v>
      </c>
      <c r="P22" s="66">
        <v>2122</v>
      </c>
      <c r="Q22">
        <v>996</v>
      </c>
      <c r="R22" s="66">
        <v>3019</v>
      </c>
      <c r="S22" s="66">
        <v>10506</v>
      </c>
      <c r="T22">
        <v>2478</v>
      </c>
      <c r="W22" t="str" cm="1">
        <f t="array" ref="W22:AS27">_xlfn._xlws.FILTER(Tabel1[], Tabel1[Team Number]=D3, "Geen resultaten")</f>
        <v>Anita Karki</v>
      </c>
      <c r="X22">
        <v>2</v>
      </c>
      <c r="Y22" t="str">
        <v>R3</v>
      </c>
      <c r="Z22">
        <v>6833</v>
      </c>
      <c r="AA22" t="str">
        <v>H</v>
      </c>
      <c r="AB22" t="str">
        <v>false</v>
      </c>
      <c r="AC22" t="str">
        <v>true</v>
      </c>
      <c r="AD22" t="str">
        <v>true</v>
      </c>
      <c r="AE22" t="str">
        <v>true</v>
      </c>
      <c r="AF22" t="str">
        <v>NA</v>
      </c>
      <c r="AG22" t="str">
        <v>true</v>
      </c>
      <c r="AH22" t="str">
        <v>false</v>
      </c>
      <c r="AI22" t="str">
        <v>false</v>
      </c>
      <c r="AJ22">
        <v>0</v>
      </c>
      <c r="AK22">
        <v>9</v>
      </c>
      <c r="AL22">
        <v>0</v>
      </c>
      <c r="AM22">
        <v>76</v>
      </c>
      <c r="AN22" t="str">
        <v>true</v>
      </c>
      <c r="AO22" t="str">
        <v>NA</v>
      </c>
      <c r="AP22" t="str">
        <v>false</v>
      </c>
      <c r="AQ22" t="str">
        <v>false</v>
      </c>
      <c r="AR22" t="str">
        <v>mainly pushed fuel around</v>
      </c>
      <c r="AS22">
        <v>4</v>
      </c>
      <c r="AU22">
        <f t="shared" si="0"/>
        <v>9</v>
      </c>
    </row>
    <row r="23" spans="2:49" x14ac:dyDescent="0.3">
      <c r="N23">
        <v>21</v>
      </c>
      <c r="O23">
        <v>2662</v>
      </c>
      <c r="P23">
        <v>9091</v>
      </c>
      <c r="Q23">
        <v>288</v>
      </c>
      <c r="R23">
        <v>7333</v>
      </c>
      <c r="S23">
        <v>3944</v>
      </c>
      <c r="T23">
        <v>8012</v>
      </c>
      <c r="W23" t="str">
        <v>Mil g</v>
      </c>
      <c r="X23">
        <v>10</v>
      </c>
      <c r="Y23" t="str">
        <v>B2</v>
      </c>
      <c r="Z23">
        <v>6833</v>
      </c>
      <c r="AA23" t="str">
        <v>H</v>
      </c>
      <c r="AB23" t="str">
        <v>false</v>
      </c>
      <c r="AC23" t="str">
        <v>false</v>
      </c>
      <c r="AD23" t="str">
        <v>true</v>
      </c>
      <c r="AE23" t="str">
        <v>true</v>
      </c>
      <c r="AF23" t="str">
        <v>No attempt</v>
      </c>
      <c r="AG23" t="str">
        <v>true</v>
      </c>
      <c r="AH23" t="str">
        <v>false</v>
      </c>
      <c r="AI23" t="str">
        <v>false</v>
      </c>
      <c r="AJ23">
        <v>0</v>
      </c>
      <c r="AK23">
        <v>3</v>
      </c>
      <c r="AL23">
        <v>20</v>
      </c>
      <c r="AM23">
        <v>100</v>
      </c>
      <c r="AN23" t="str">
        <v>false</v>
      </c>
      <c r="AO23" t="str">
        <v>NA</v>
      </c>
      <c r="AP23" t="str">
        <v>false</v>
      </c>
      <c r="AQ23" t="str">
        <v>false</v>
      </c>
      <c r="AR23">
        <v>0</v>
      </c>
      <c r="AS23">
        <v>5</v>
      </c>
      <c r="AU23">
        <f t="shared" si="0"/>
        <v>23</v>
      </c>
    </row>
    <row r="24" spans="2:49" x14ac:dyDescent="0.3">
      <c r="N24">
        <v>22</v>
      </c>
      <c r="O24" s="66">
        <v>2403</v>
      </c>
      <c r="P24" s="66">
        <v>11176</v>
      </c>
      <c r="Q24" s="66">
        <v>1212</v>
      </c>
      <c r="R24">
        <v>10183</v>
      </c>
      <c r="S24" s="66">
        <v>10905</v>
      </c>
      <c r="T24">
        <v>6833</v>
      </c>
      <c r="W24" t="str">
        <v>Yannis</v>
      </c>
      <c r="X24">
        <v>22</v>
      </c>
      <c r="Y24" t="str">
        <v>B3</v>
      </c>
      <c r="Z24">
        <v>6833</v>
      </c>
      <c r="AA24" t="str">
        <v>H</v>
      </c>
      <c r="AB24" t="str">
        <v>false</v>
      </c>
      <c r="AC24" t="str">
        <v>true</v>
      </c>
      <c r="AD24" t="str">
        <v>true</v>
      </c>
      <c r="AE24" t="str">
        <v>true</v>
      </c>
      <c r="AF24" t="str">
        <v>NA</v>
      </c>
      <c r="AG24" t="str">
        <v>true</v>
      </c>
      <c r="AH24" t="str">
        <v>false</v>
      </c>
      <c r="AI24" t="str">
        <v>false</v>
      </c>
      <c r="AJ24">
        <v>1</v>
      </c>
      <c r="AK24">
        <v>6</v>
      </c>
      <c r="AL24">
        <v>25</v>
      </c>
      <c r="AM24">
        <v>33</v>
      </c>
      <c r="AN24" t="str">
        <v>false</v>
      </c>
      <c r="AO24" t="str">
        <v>NA</v>
      </c>
      <c r="AP24" t="str">
        <v>false</v>
      </c>
      <c r="AQ24" t="str">
        <v>false</v>
      </c>
      <c r="AR24">
        <v>0</v>
      </c>
      <c r="AS24">
        <v>4</v>
      </c>
      <c r="AU24">
        <f t="shared" si="0"/>
        <v>32</v>
      </c>
      <c r="AW24" s="93" t="s">
        <v>188</v>
      </c>
    </row>
    <row r="25" spans="2:49" x14ac:dyDescent="0.3">
      <c r="C25" t="s">
        <v>691</v>
      </c>
      <c r="D25" t="s">
        <v>692</v>
      </c>
      <c r="E25" t="s">
        <v>693</v>
      </c>
      <c r="F25" t="s">
        <v>708</v>
      </c>
      <c r="N25">
        <v>23</v>
      </c>
      <c r="O25">
        <v>3216</v>
      </c>
      <c r="P25">
        <v>2080</v>
      </c>
      <c r="Q25" s="66">
        <v>11479</v>
      </c>
      <c r="R25">
        <v>9501</v>
      </c>
      <c r="S25">
        <v>698</v>
      </c>
      <c r="T25">
        <v>10933</v>
      </c>
      <c r="W25" t="str">
        <v>TimoS</v>
      </c>
      <c r="X25">
        <v>30</v>
      </c>
      <c r="Y25" t="str">
        <v>R1</v>
      </c>
      <c r="Z25">
        <v>6833</v>
      </c>
      <c r="AA25" t="str">
        <v>H</v>
      </c>
      <c r="AB25" t="str">
        <v>false</v>
      </c>
      <c r="AC25" t="str">
        <v>false</v>
      </c>
      <c r="AD25" t="str">
        <v>true</v>
      </c>
      <c r="AE25" t="str">
        <v>true</v>
      </c>
      <c r="AF25" t="str">
        <v>NA</v>
      </c>
      <c r="AG25" t="str">
        <v>true</v>
      </c>
      <c r="AH25" t="str">
        <v>false</v>
      </c>
      <c r="AI25" t="str">
        <v>false</v>
      </c>
      <c r="AJ25">
        <v>4</v>
      </c>
      <c r="AK25">
        <v>0</v>
      </c>
      <c r="AL25">
        <v>20</v>
      </c>
      <c r="AM25">
        <v>64</v>
      </c>
      <c r="AN25" t="str">
        <v>false</v>
      </c>
      <c r="AO25" t="str">
        <v>NA</v>
      </c>
      <c r="AP25" t="str">
        <v>false</v>
      </c>
      <c r="AQ25" t="str">
        <v>false</v>
      </c>
      <c r="AR25">
        <v>0</v>
      </c>
      <c r="AS25">
        <v>4</v>
      </c>
      <c r="AU25">
        <f t="shared" si="0"/>
        <v>24</v>
      </c>
      <c r="AW25" s="93">
        <f>AVERAGE(AU22:AU33)</f>
        <v>15.5</v>
      </c>
    </row>
    <row r="26" spans="2:49" x14ac:dyDescent="0.3">
      <c r="B26" t="s">
        <v>684</v>
      </c>
      <c r="C26">
        <v>2122</v>
      </c>
      <c r="D26">
        <v>7426</v>
      </c>
      <c r="E26">
        <v>2478</v>
      </c>
      <c r="F26">
        <v>7755</v>
      </c>
      <c r="N26">
        <v>24</v>
      </c>
      <c r="O26" s="66">
        <v>6352</v>
      </c>
      <c r="P26">
        <v>9777</v>
      </c>
      <c r="Q26">
        <v>2840</v>
      </c>
      <c r="R26">
        <v>1410</v>
      </c>
      <c r="S26">
        <v>10988</v>
      </c>
      <c r="T26" s="66">
        <v>3009</v>
      </c>
      <c r="W26" t="str">
        <v>AA</v>
      </c>
      <c r="X26">
        <v>48</v>
      </c>
      <c r="Y26" t="str">
        <v>R2</v>
      </c>
      <c r="Z26">
        <v>6833</v>
      </c>
      <c r="AA26" t="str">
        <v>H</v>
      </c>
      <c r="AB26" t="str">
        <v>false</v>
      </c>
      <c r="AC26" t="str">
        <v>true</v>
      </c>
      <c r="AD26" t="str">
        <v>true</v>
      </c>
      <c r="AE26" t="str">
        <v>true</v>
      </c>
      <c r="AF26" t="str">
        <v>NA</v>
      </c>
      <c r="AG26" t="str">
        <v>true</v>
      </c>
      <c r="AH26" t="str">
        <v>false</v>
      </c>
      <c r="AI26" t="str">
        <v>false</v>
      </c>
      <c r="AJ26">
        <v>0</v>
      </c>
      <c r="AK26">
        <v>0</v>
      </c>
      <c r="AL26">
        <v>5</v>
      </c>
      <c r="AM26">
        <v>48</v>
      </c>
      <c r="AN26" t="str">
        <v>false</v>
      </c>
      <c r="AO26" t="str">
        <v>NA</v>
      </c>
      <c r="AP26" t="str">
        <v>false</v>
      </c>
      <c r="AQ26" t="str">
        <v>false</v>
      </c>
      <c r="AR26" t="str">
        <v>Calm and poor pickup/carry</v>
      </c>
      <c r="AS26">
        <v>2</v>
      </c>
      <c r="AU26">
        <f t="shared" si="0"/>
        <v>5</v>
      </c>
    </row>
    <row r="27" spans="2:49" x14ac:dyDescent="0.3">
      <c r="B27" t="s">
        <v>683</v>
      </c>
      <c r="C27">
        <v>2486</v>
      </c>
      <c r="D27">
        <v>987</v>
      </c>
      <c r="E27">
        <v>4731</v>
      </c>
      <c r="N27">
        <v>25</v>
      </c>
      <c r="O27">
        <v>991</v>
      </c>
      <c r="P27" s="66">
        <v>9534</v>
      </c>
      <c r="Q27">
        <v>3424</v>
      </c>
      <c r="R27" s="66">
        <v>7755</v>
      </c>
      <c r="S27" s="66">
        <v>3243</v>
      </c>
      <c r="T27" s="66">
        <v>987</v>
      </c>
      <c r="W27" t="str">
        <v xml:space="preserve">LeoV </v>
      </c>
      <c r="X27">
        <v>56</v>
      </c>
      <c r="Y27" t="str">
        <v>R3</v>
      </c>
      <c r="Z27">
        <v>6833</v>
      </c>
      <c r="AA27" t="str">
        <v>O</v>
      </c>
      <c r="AB27" t="str">
        <v>false</v>
      </c>
      <c r="AC27" t="str">
        <v>true</v>
      </c>
      <c r="AD27" t="str">
        <v>false</v>
      </c>
      <c r="AE27" t="str">
        <v>false</v>
      </c>
      <c r="AF27" t="str">
        <v>NA</v>
      </c>
      <c r="AG27" t="str">
        <v>true</v>
      </c>
      <c r="AH27" t="str">
        <v>false</v>
      </c>
      <c r="AI27" t="str">
        <v>true</v>
      </c>
      <c r="AJ27">
        <v>0</v>
      </c>
      <c r="AK27">
        <v>0</v>
      </c>
      <c r="AL27">
        <v>0</v>
      </c>
      <c r="AM27">
        <v>65</v>
      </c>
      <c r="AN27" t="str">
        <v>false</v>
      </c>
      <c r="AO27" t="str">
        <v>A</v>
      </c>
      <c r="AP27" t="str">
        <v>false</v>
      </c>
      <c r="AQ27" t="str">
        <v>false</v>
      </c>
      <c r="AR27" t="str">
        <v>Feeda outpost, helped stuk teammeat</v>
      </c>
      <c r="AS27">
        <v>3</v>
      </c>
      <c r="AU27">
        <f t="shared" si="0"/>
        <v>0</v>
      </c>
    </row>
    <row r="28" spans="2:49" x14ac:dyDescent="0.3">
      <c r="B28" t="s">
        <v>685</v>
      </c>
      <c r="C28">
        <v>3245</v>
      </c>
      <c r="D28">
        <v>6413</v>
      </c>
      <c r="E28">
        <v>1410</v>
      </c>
      <c r="N28">
        <v>26</v>
      </c>
      <c r="O28">
        <v>4146</v>
      </c>
      <c r="P28">
        <v>7426</v>
      </c>
      <c r="Q28" s="66">
        <v>5933</v>
      </c>
      <c r="R28">
        <v>6413</v>
      </c>
      <c r="S28">
        <v>1828</v>
      </c>
      <c r="T28" s="66">
        <v>10380</v>
      </c>
      <c r="AU28" t="str">
        <f t="shared" si="0"/>
        <v/>
      </c>
    </row>
    <row r="29" spans="2:49" x14ac:dyDescent="0.3">
      <c r="B29" t="s">
        <v>686</v>
      </c>
      <c r="C29">
        <v>6479</v>
      </c>
      <c r="D29">
        <v>9501</v>
      </c>
      <c r="E29">
        <v>7333</v>
      </c>
      <c r="F29">
        <v>60</v>
      </c>
      <c r="N29">
        <v>27</v>
      </c>
      <c r="O29">
        <v>3245</v>
      </c>
      <c r="P29">
        <v>10114</v>
      </c>
      <c r="Q29">
        <v>10980</v>
      </c>
      <c r="R29">
        <v>9704</v>
      </c>
      <c r="S29">
        <v>244</v>
      </c>
      <c r="T29" s="66">
        <v>7425</v>
      </c>
      <c r="AU29" t="str">
        <f t="shared" si="0"/>
        <v/>
      </c>
    </row>
    <row r="30" spans="2:49" x14ac:dyDescent="0.3">
      <c r="B30" t="s">
        <v>687</v>
      </c>
      <c r="C30">
        <v>10114</v>
      </c>
      <c r="D30">
        <v>3243</v>
      </c>
      <c r="E30">
        <v>2403</v>
      </c>
      <c r="N30">
        <v>28</v>
      </c>
      <c r="O30">
        <v>4731</v>
      </c>
      <c r="P30" s="66">
        <v>60</v>
      </c>
      <c r="Q30" s="66">
        <v>9059</v>
      </c>
      <c r="R30" s="66">
        <v>11100</v>
      </c>
      <c r="S30">
        <v>2662</v>
      </c>
      <c r="T30">
        <v>996</v>
      </c>
      <c r="AU30" t="str">
        <f t="shared" si="0"/>
        <v/>
      </c>
    </row>
    <row r="31" spans="2:49" x14ac:dyDescent="0.3">
      <c r="B31" t="s">
        <v>688</v>
      </c>
      <c r="C31">
        <v>10980</v>
      </c>
      <c r="D31">
        <v>3216</v>
      </c>
      <c r="E31">
        <v>10933</v>
      </c>
      <c r="N31">
        <v>29</v>
      </c>
      <c r="O31">
        <v>11176</v>
      </c>
      <c r="P31">
        <v>11479</v>
      </c>
      <c r="Q31">
        <v>7333</v>
      </c>
      <c r="R31">
        <v>1212</v>
      </c>
      <c r="S31">
        <v>1165</v>
      </c>
      <c r="T31">
        <v>10506</v>
      </c>
      <c r="AU31" t="str">
        <f t="shared" si="0"/>
        <v/>
      </c>
    </row>
    <row r="32" spans="2:49" x14ac:dyDescent="0.3">
      <c r="B32" t="s">
        <v>689</v>
      </c>
      <c r="C32">
        <v>10183</v>
      </c>
      <c r="D32">
        <v>7425</v>
      </c>
      <c r="E32">
        <v>1165</v>
      </c>
      <c r="F32">
        <v>11479</v>
      </c>
      <c r="N32">
        <v>30</v>
      </c>
      <c r="O32">
        <v>6833</v>
      </c>
      <c r="P32">
        <v>9501</v>
      </c>
      <c r="Q32" s="66">
        <v>2486</v>
      </c>
      <c r="R32" s="66">
        <v>10988</v>
      </c>
      <c r="S32">
        <v>3944</v>
      </c>
      <c r="T32">
        <v>9091</v>
      </c>
      <c r="AU32" t="str">
        <f t="shared" si="0"/>
        <v/>
      </c>
    </row>
    <row r="33" spans="2:49" x14ac:dyDescent="0.3">
      <c r="B33" t="s">
        <v>690</v>
      </c>
      <c r="C33">
        <v>991</v>
      </c>
      <c r="D33">
        <v>3019</v>
      </c>
      <c r="E33">
        <v>1212</v>
      </c>
      <c r="N33">
        <v>31</v>
      </c>
      <c r="O33" s="66">
        <v>3243</v>
      </c>
      <c r="P33">
        <v>2478</v>
      </c>
      <c r="Q33">
        <v>288</v>
      </c>
      <c r="R33">
        <v>8012</v>
      </c>
      <c r="S33" s="66">
        <v>987</v>
      </c>
      <c r="T33" s="66">
        <v>2403</v>
      </c>
      <c r="AU33" t="str">
        <f t="shared" si="0"/>
        <v/>
      </c>
    </row>
    <row r="34" spans="2:49" x14ac:dyDescent="0.3">
      <c r="N34">
        <v>32</v>
      </c>
      <c r="O34">
        <v>698</v>
      </c>
      <c r="P34">
        <v>10183</v>
      </c>
      <c r="Q34">
        <v>1410</v>
      </c>
      <c r="R34" s="66">
        <v>6413</v>
      </c>
      <c r="S34" s="66">
        <v>6479</v>
      </c>
      <c r="T34" s="66">
        <v>7755</v>
      </c>
      <c r="V34" s="38" t="s">
        <v>68</v>
      </c>
      <c r="W34" s="17" t="s">
        <v>44</v>
      </c>
      <c r="X34" s="18" t="s">
        <v>45</v>
      </c>
      <c r="Y34" s="18" t="s">
        <v>71</v>
      </c>
      <c r="Z34" s="19" t="s">
        <v>46</v>
      </c>
      <c r="AA34" s="19" t="s">
        <v>47</v>
      </c>
      <c r="AB34" s="19" t="s">
        <v>48</v>
      </c>
      <c r="AC34" s="19" t="s">
        <v>150</v>
      </c>
      <c r="AD34" s="19" t="s">
        <v>49</v>
      </c>
      <c r="AE34" s="19" t="s">
        <v>50</v>
      </c>
      <c r="AF34" s="20" t="s">
        <v>163</v>
      </c>
      <c r="AG34" s="20" t="s">
        <v>51</v>
      </c>
      <c r="AH34" s="20" t="s">
        <v>52</v>
      </c>
      <c r="AI34" s="20" t="s">
        <v>53</v>
      </c>
      <c r="AJ34" s="20" t="s">
        <v>151</v>
      </c>
      <c r="AK34" s="20" t="s">
        <v>55</v>
      </c>
      <c r="AL34" s="20" t="s">
        <v>152</v>
      </c>
      <c r="AM34" s="20" t="s">
        <v>153</v>
      </c>
      <c r="AN34" s="20" t="s">
        <v>154</v>
      </c>
      <c r="AO34" s="20" t="s">
        <v>155</v>
      </c>
      <c r="AP34" s="20" t="s">
        <v>161</v>
      </c>
      <c r="AQ34" s="80" t="s">
        <v>156</v>
      </c>
      <c r="AR34" s="81"/>
      <c r="AU34" t="str">
        <f t="shared" si="0"/>
        <v/>
      </c>
    </row>
    <row r="35" spans="2:49" x14ac:dyDescent="0.3">
      <c r="N35">
        <v>33</v>
      </c>
      <c r="O35" s="66">
        <v>10905</v>
      </c>
      <c r="P35" s="66">
        <v>1828</v>
      </c>
      <c r="Q35" s="66">
        <v>3009</v>
      </c>
      <c r="R35">
        <v>244</v>
      </c>
      <c r="S35" s="66">
        <v>3019</v>
      </c>
      <c r="T35">
        <v>10980</v>
      </c>
      <c r="W35" t="str" cm="1">
        <f t="array" ref="W35:AO35">_xlfn._xlws.FILTER(Tabel2[], Tabel2[team_number]=E3, "Geen resultaten")</f>
        <v>Mil g</v>
      </c>
      <c r="X35" t="str">
        <v>Robokrew</v>
      </c>
      <c r="Y35">
        <v>2662</v>
      </c>
      <c r="Z35">
        <v>79</v>
      </c>
      <c r="AA35" t="str">
        <v>21 inch</v>
      </c>
      <c r="AB35">
        <v>25.28</v>
      </c>
      <c r="AC35">
        <v>20</v>
      </c>
      <c r="AD35" t="str">
        <v>Swerve</v>
      </c>
      <c r="AE35">
        <v>0</v>
      </c>
      <c r="AF35" t="str">
        <v xml:space="preserve">Score preload , move to neuttral zone </v>
      </c>
      <c r="AG35" t="str">
        <v>No</v>
      </c>
      <c r="AH35">
        <v>0</v>
      </c>
      <c r="AI35">
        <v>0</v>
      </c>
      <c r="AJ35" t="str">
        <v>true</v>
      </c>
      <c r="AK35" t="str">
        <v>true</v>
      </c>
      <c r="AL35" t="str">
        <v>false</v>
      </c>
      <c r="AM35" t="str">
        <v>false</v>
      </c>
      <c r="AN35" t="str">
        <v>Stationary</v>
      </c>
      <c r="AO35" t="str">
        <v>Smack down intake, foxed shooter, no climb. Looks like a fish, since they are a fish</v>
      </c>
      <c r="AU35" t="str">
        <f t="shared" si="0"/>
        <v/>
      </c>
    </row>
    <row r="36" spans="2:49" x14ac:dyDescent="0.3">
      <c r="N36">
        <v>34</v>
      </c>
      <c r="O36">
        <v>2080</v>
      </c>
      <c r="P36" s="66">
        <v>991</v>
      </c>
      <c r="Q36" s="66">
        <v>6352</v>
      </c>
      <c r="R36" s="66">
        <v>5933</v>
      </c>
      <c r="S36" s="66">
        <v>11100</v>
      </c>
      <c r="T36">
        <v>3245</v>
      </c>
      <c r="AU36" t="str">
        <f t="shared" si="0"/>
        <v/>
      </c>
    </row>
    <row r="37" spans="2:49" x14ac:dyDescent="0.3">
      <c r="N37">
        <v>35</v>
      </c>
      <c r="O37">
        <v>9777</v>
      </c>
      <c r="P37">
        <v>7426</v>
      </c>
      <c r="Q37" s="66">
        <v>60</v>
      </c>
      <c r="R37" s="66">
        <v>9534</v>
      </c>
      <c r="S37" s="66">
        <v>7425</v>
      </c>
      <c r="T37">
        <v>3216</v>
      </c>
      <c r="W37" s="31" t="s">
        <v>0</v>
      </c>
      <c r="X37" s="31" t="s">
        <v>1</v>
      </c>
      <c r="Y37" s="31" t="s">
        <v>2</v>
      </c>
      <c r="Z37" s="84" t="s">
        <v>3</v>
      </c>
      <c r="AA37" s="31" t="s">
        <v>4</v>
      </c>
      <c r="AB37" s="31" t="s">
        <v>5</v>
      </c>
      <c r="AC37" s="31" t="s">
        <v>6</v>
      </c>
      <c r="AD37" s="32" t="s">
        <v>7</v>
      </c>
      <c r="AE37" s="32" t="s">
        <v>8</v>
      </c>
      <c r="AF37" s="32" t="s">
        <v>9</v>
      </c>
      <c r="AG37" s="33" t="s">
        <v>72</v>
      </c>
      <c r="AH37" s="33" t="s">
        <v>73</v>
      </c>
      <c r="AI37" s="33" t="s">
        <v>74</v>
      </c>
      <c r="AJ37" s="85" t="s">
        <v>180</v>
      </c>
      <c r="AK37" s="85" t="s">
        <v>181</v>
      </c>
      <c r="AL37" s="85" t="s">
        <v>182</v>
      </c>
      <c r="AM37" s="33" t="s">
        <v>75</v>
      </c>
      <c r="AN37" s="33" t="s">
        <v>76</v>
      </c>
      <c r="AO37" s="34" t="s">
        <v>11</v>
      </c>
      <c r="AP37" s="34" t="s">
        <v>12</v>
      </c>
      <c r="AQ37" s="34" t="s">
        <v>13</v>
      </c>
      <c r="AR37" s="86" t="s">
        <v>14</v>
      </c>
      <c r="AS37" s="35" t="s">
        <v>148</v>
      </c>
      <c r="AU37" t="str">
        <f t="shared" si="0"/>
        <v/>
      </c>
    </row>
    <row r="38" spans="2:49" x14ac:dyDescent="0.3">
      <c r="N38">
        <v>36</v>
      </c>
      <c r="O38">
        <v>4731</v>
      </c>
      <c r="P38">
        <v>3424</v>
      </c>
      <c r="Q38" s="66">
        <v>8717</v>
      </c>
      <c r="R38" s="66">
        <v>2122</v>
      </c>
      <c r="S38">
        <v>4146</v>
      </c>
      <c r="T38">
        <v>10114</v>
      </c>
      <c r="W38" t="str" cm="1">
        <f t="array" ref="W38:AS43">_xlfn._xlws.FILTER(Tabel1[], Tabel1[Team Number]=E3, "Geen resultaten")</f>
        <v>LeoV</v>
      </c>
      <c r="X38">
        <v>2</v>
      </c>
      <c r="Y38" t="str">
        <v>B3</v>
      </c>
      <c r="Z38">
        <v>2662</v>
      </c>
      <c r="AA38" t="str">
        <v>D</v>
      </c>
      <c r="AB38" t="str">
        <v>false</v>
      </c>
      <c r="AC38" t="str">
        <v>false</v>
      </c>
      <c r="AD38" t="str">
        <v>false</v>
      </c>
      <c r="AE38" t="str">
        <v>false</v>
      </c>
      <c r="AF38" t="str">
        <v>NA</v>
      </c>
      <c r="AG38" t="str">
        <v>true</v>
      </c>
      <c r="AH38" t="str">
        <v>false</v>
      </c>
      <c r="AI38" t="str">
        <v>false</v>
      </c>
      <c r="AJ38">
        <v>0</v>
      </c>
      <c r="AK38">
        <v>0</v>
      </c>
      <c r="AL38">
        <v>0</v>
      </c>
      <c r="AM38">
        <v>1</v>
      </c>
      <c r="AN38" t="str">
        <v>false</v>
      </c>
      <c r="AO38" t="str">
        <v>NA</v>
      </c>
      <c r="AP38" t="str">
        <v>false</v>
      </c>
      <c r="AQ38" t="str">
        <v>false</v>
      </c>
      <c r="AR38" t="str">
        <v>Looks like ilthenintake broke and the they did not shoot</v>
      </c>
      <c r="AS38">
        <v>2</v>
      </c>
      <c r="AU38">
        <f t="shared" si="0"/>
        <v>0</v>
      </c>
    </row>
    <row r="39" spans="2:49" x14ac:dyDescent="0.3">
      <c r="N39">
        <v>37</v>
      </c>
      <c r="O39">
        <v>2840</v>
      </c>
      <c r="P39" s="66">
        <v>10380</v>
      </c>
      <c r="Q39">
        <v>9501</v>
      </c>
      <c r="R39">
        <v>10933</v>
      </c>
      <c r="S39">
        <v>9704</v>
      </c>
      <c r="T39">
        <v>11176</v>
      </c>
      <c r="W39" t="str">
        <v>Joep</v>
      </c>
      <c r="X39">
        <v>28</v>
      </c>
      <c r="Y39" t="str">
        <v>B2</v>
      </c>
      <c r="Z39">
        <v>2662</v>
      </c>
      <c r="AA39" t="str">
        <v>H</v>
      </c>
      <c r="AB39" t="str">
        <v>false</v>
      </c>
      <c r="AC39" t="str">
        <v>true</v>
      </c>
      <c r="AD39" t="str">
        <v>false</v>
      </c>
      <c r="AE39" t="str">
        <v>false</v>
      </c>
      <c r="AF39" t="str">
        <v>NA</v>
      </c>
      <c r="AG39" t="str">
        <v>true</v>
      </c>
      <c r="AH39" t="str">
        <v>false</v>
      </c>
      <c r="AI39" t="str">
        <v>false</v>
      </c>
      <c r="AJ39">
        <v>4</v>
      </c>
      <c r="AK39">
        <v>0</v>
      </c>
      <c r="AL39">
        <v>0</v>
      </c>
      <c r="AM39">
        <v>50</v>
      </c>
      <c r="AN39" t="str">
        <v>false</v>
      </c>
      <c r="AO39" t="str">
        <v>NA</v>
      </c>
      <c r="AP39" t="str">
        <v>false</v>
      </c>
      <c r="AQ39" t="str">
        <v>false</v>
      </c>
      <c r="AR39" t="str">
        <v>Intake didn't work well</v>
      </c>
      <c r="AS39">
        <v>3</v>
      </c>
      <c r="AU39">
        <f t="shared" si="0"/>
        <v>4</v>
      </c>
    </row>
    <row r="40" spans="2:49" x14ac:dyDescent="0.3">
      <c r="N40">
        <v>38</v>
      </c>
      <c r="O40">
        <v>10506</v>
      </c>
      <c r="P40" s="66">
        <v>6413</v>
      </c>
      <c r="Q40">
        <v>288</v>
      </c>
      <c r="R40" s="66">
        <v>9059</v>
      </c>
      <c r="S40" s="66">
        <v>3243</v>
      </c>
      <c r="T40">
        <v>1212</v>
      </c>
      <c r="W40" t="str">
        <v xml:space="preserve">LeoV </v>
      </c>
      <c r="X40">
        <v>52</v>
      </c>
      <c r="Y40" t="str">
        <v>B2</v>
      </c>
      <c r="Z40">
        <v>2662</v>
      </c>
      <c r="AA40" t="str">
        <v>O</v>
      </c>
      <c r="AB40" t="str">
        <v>false</v>
      </c>
      <c r="AC40" t="str">
        <v>true</v>
      </c>
      <c r="AD40" t="str">
        <v>false</v>
      </c>
      <c r="AE40" t="str">
        <v>false</v>
      </c>
      <c r="AF40" t="str">
        <v>NA</v>
      </c>
      <c r="AG40" t="str">
        <v>false</v>
      </c>
      <c r="AH40" t="str">
        <v>false</v>
      </c>
      <c r="AI40" t="str">
        <v>false</v>
      </c>
      <c r="AJ40">
        <v>0</v>
      </c>
      <c r="AK40">
        <v>0</v>
      </c>
      <c r="AL40">
        <v>0</v>
      </c>
      <c r="AM40">
        <v>1</v>
      </c>
      <c r="AN40" t="str">
        <v>false</v>
      </c>
      <c r="AO40" t="str">
        <v>No Attempt</v>
      </c>
      <c r="AP40" t="str">
        <v>false</v>
      </c>
      <c r="AQ40" t="str">
        <v>false</v>
      </c>
      <c r="AR40" t="str">
        <v xml:space="preserve"> intake broken, not feeding outpost</v>
      </c>
      <c r="AS40">
        <v>3</v>
      </c>
      <c r="AU40">
        <f t="shared" si="0"/>
        <v>0</v>
      </c>
    </row>
    <row r="41" spans="2:49" x14ac:dyDescent="0.3">
      <c r="N41">
        <v>39</v>
      </c>
      <c r="O41" s="66">
        <v>7755</v>
      </c>
      <c r="P41" s="66">
        <v>3019</v>
      </c>
      <c r="Q41" s="66">
        <v>2403</v>
      </c>
      <c r="R41">
        <v>2478</v>
      </c>
      <c r="S41">
        <v>11479</v>
      </c>
      <c r="T41">
        <v>244</v>
      </c>
      <c r="W41" t="str">
        <v>GD</v>
      </c>
      <c r="X41">
        <v>46</v>
      </c>
      <c r="Y41" t="str">
        <v>R1</v>
      </c>
      <c r="Z41">
        <v>2662</v>
      </c>
      <c r="AA41" t="str">
        <v>H</v>
      </c>
      <c r="AB41" t="str">
        <v>false</v>
      </c>
      <c r="AC41" t="str">
        <v>false</v>
      </c>
      <c r="AD41" t="str">
        <v>true</v>
      </c>
      <c r="AE41" t="str">
        <v>false</v>
      </c>
      <c r="AF41" t="str">
        <v>No attempt</v>
      </c>
      <c r="AG41" t="str">
        <v>true</v>
      </c>
      <c r="AH41" t="str">
        <v>false</v>
      </c>
      <c r="AI41" t="str">
        <v>true</v>
      </c>
      <c r="AJ41">
        <v>41</v>
      </c>
      <c r="AK41">
        <v>0</v>
      </c>
      <c r="AL41">
        <v>0</v>
      </c>
      <c r="AM41">
        <v>70</v>
      </c>
      <c r="AN41" t="str">
        <v>false</v>
      </c>
      <c r="AO41" t="str">
        <v>NA</v>
      </c>
      <c r="AP41" t="str">
        <v>false</v>
      </c>
      <c r="AQ41" t="str">
        <v>false</v>
      </c>
      <c r="AR41" t="str">
        <v>Lots of balls</v>
      </c>
      <c r="AS41">
        <v>4</v>
      </c>
      <c r="AU41">
        <f t="shared" si="0"/>
        <v>41</v>
      </c>
    </row>
    <row r="42" spans="2:49" x14ac:dyDescent="0.3">
      <c r="N42">
        <v>40</v>
      </c>
      <c r="O42">
        <v>2486</v>
      </c>
      <c r="P42">
        <v>987</v>
      </c>
      <c r="Q42">
        <v>6479</v>
      </c>
      <c r="R42">
        <v>6352</v>
      </c>
      <c r="S42" s="66">
        <v>11100</v>
      </c>
      <c r="T42">
        <v>7333</v>
      </c>
      <c r="W42" t="str">
        <v>Jippe</v>
      </c>
      <c r="X42">
        <v>71</v>
      </c>
      <c r="Y42" t="str">
        <v>R3</v>
      </c>
      <c r="Z42">
        <v>2662</v>
      </c>
      <c r="AA42" t="str">
        <v>H</v>
      </c>
      <c r="AB42" t="str">
        <v>false</v>
      </c>
      <c r="AC42" t="str">
        <v>true</v>
      </c>
      <c r="AD42" t="str">
        <v>false</v>
      </c>
      <c r="AE42" t="str">
        <v>false</v>
      </c>
      <c r="AF42" t="str">
        <v>No attempt</v>
      </c>
      <c r="AG42" t="str">
        <v>false</v>
      </c>
      <c r="AH42" t="str">
        <v>false</v>
      </c>
      <c r="AI42" t="str">
        <v>false</v>
      </c>
      <c r="AJ42">
        <v>0</v>
      </c>
      <c r="AK42">
        <v>0</v>
      </c>
      <c r="AL42">
        <v>0</v>
      </c>
      <c r="AM42">
        <v>100</v>
      </c>
      <c r="AN42" t="str">
        <v>false</v>
      </c>
      <c r="AO42" t="str">
        <v>NA</v>
      </c>
      <c r="AP42" t="str">
        <v>false</v>
      </c>
      <c r="AQ42" t="str">
        <v>false</v>
      </c>
      <c r="AR42">
        <v>0</v>
      </c>
      <c r="AS42">
        <v>2</v>
      </c>
      <c r="AU42">
        <f t="shared" si="0"/>
        <v>0</v>
      </c>
      <c r="AW42" s="93" t="s">
        <v>188</v>
      </c>
    </row>
    <row r="43" spans="2:49" x14ac:dyDescent="0.3">
      <c r="N43">
        <v>41</v>
      </c>
      <c r="O43">
        <v>1410</v>
      </c>
      <c r="P43">
        <v>10980</v>
      </c>
      <c r="Q43">
        <v>8012</v>
      </c>
      <c r="R43" s="66">
        <v>5933</v>
      </c>
      <c r="S43">
        <v>6833</v>
      </c>
      <c r="T43" s="66">
        <v>9534</v>
      </c>
      <c r="W43" t="str">
        <v>AA</v>
      </c>
      <c r="X43">
        <v>78</v>
      </c>
      <c r="Y43" t="str">
        <v>R2</v>
      </c>
      <c r="Z43">
        <v>2662</v>
      </c>
      <c r="AA43" t="str">
        <v>H</v>
      </c>
      <c r="AB43" t="str">
        <v>true</v>
      </c>
      <c r="AC43" t="str">
        <v>true</v>
      </c>
      <c r="AD43" t="str">
        <v>false</v>
      </c>
      <c r="AE43" t="str">
        <v>false</v>
      </c>
      <c r="AF43" t="str">
        <v>NA</v>
      </c>
      <c r="AG43" t="str">
        <v>false</v>
      </c>
      <c r="AH43" t="str">
        <v>false</v>
      </c>
      <c r="AI43" t="str">
        <v>false</v>
      </c>
      <c r="AJ43">
        <v>0</v>
      </c>
      <c r="AK43">
        <v>0</v>
      </c>
      <c r="AL43">
        <v>0</v>
      </c>
      <c r="AM43">
        <v>100</v>
      </c>
      <c r="AN43" t="str">
        <v>false</v>
      </c>
      <c r="AO43" t="str">
        <v>NA</v>
      </c>
      <c r="AP43" t="str">
        <v>false</v>
      </c>
      <c r="AQ43" t="str">
        <v>false</v>
      </c>
      <c r="AR43">
        <v>0</v>
      </c>
      <c r="AS43">
        <v>3</v>
      </c>
      <c r="AU43">
        <f t="shared" si="0"/>
        <v>0</v>
      </c>
      <c r="AW43" s="93">
        <f>AVERAGE(AU38:AU48)</f>
        <v>7.5</v>
      </c>
    </row>
    <row r="44" spans="2:49" x14ac:dyDescent="0.3">
      <c r="N44">
        <v>42</v>
      </c>
      <c r="O44">
        <v>3216</v>
      </c>
      <c r="P44">
        <v>1165</v>
      </c>
      <c r="Q44" s="66">
        <v>10905</v>
      </c>
      <c r="R44">
        <v>4731</v>
      </c>
      <c r="S44">
        <v>3245</v>
      </c>
      <c r="T44" s="66">
        <v>1828</v>
      </c>
      <c r="AU44" t="str">
        <f t="shared" si="0"/>
        <v/>
      </c>
    </row>
    <row r="45" spans="2:49" x14ac:dyDescent="0.3">
      <c r="N45">
        <v>43</v>
      </c>
      <c r="O45" s="66">
        <v>7425</v>
      </c>
      <c r="P45" s="66">
        <v>991</v>
      </c>
      <c r="Q45">
        <v>9091</v>
      </c>
      <c r="R45" s="66">
        <v>8717</v>
      </c>
      <c r="S45">
        <v>10183</v>
      </c>
      <c r="T45" s="66">
        <v>3009</v>
      </c>
      <c r="AU45" t="str">
        <f t="shared" si="0"/>
        <v/>
      </c>
    </row>
    <row r="46" spans="2:49" x14ac:dyDescent="0.3">
      <c r="N46">
        <v>44</v>
      </c>
      <c r="O46">
        <v>10933</v>
      </c>
      <c r="P46">
        <v>9777</v>
      </c>
      <c r="Q46" s="66">
        <v>10380</v>
      </c>
      <c r="R46">
        <v>996</v>
      </c>
      <c r="S46">
        <v>3944</v>
      </c>
      <c r="T46">
        <v>3424</v>
      </c>
      <c r="AU46" t="str">
        <f t="shared" si="0"/>
        <v/>
      </c>
    </row>
    <row r="47" spans="2:49" x14ac:dyDescent="0.3">
      <c r="N47">
        <v>45</v>
      </c>
      <c r="O47">
        <v>10114</v>
      </c>
      <c r="P47">
        <v>9704</v>
      </c>
      <c r="Q47">
        <v>7426</v>
      </c>
      <c r="R47" s="66">
        <v>60</v>
      </c>
      <c r="S47">
        <v>698</v>
      </c>
      <c r="T47" s="66">
        <v>10988</v>
      </c>
      <c r="AU47" t="str">
        <f t="shared" si="0"/>
        <v/>
      </c>
    </row>
    <row r="48" spans="2:49" x14ac:dyDescent="0.3">
      <c r="N48">
        <v>46</v>
      </c>
      <c r="O48">
        <v>2662</v>
      </c>
      <c r="P48">
        <v>2080</v>
      </c>
      <c r="Q48" s="66">
        <v>2122</v>
      </c>
      <c r="R48">
        <v>4146</v>
      </c>
      <c r="S48">
        <v>2840</v>
      </c>
      <c r="T48" s="66">
        <v>6413</v>
      </c>
      <c r="AU48" t="str">
        <f t="shared" si="0"/>
        <v/>
      </c>
    </row>
    <row r="49" spans="14:49" x14ac:dyDescent="0.3">
      <c r="N49">
        <v>47</v>
      </c>
      <c r="O49">
        <v>11479</v>
      </c>
      <c r="P49">
        <v>288</v>
      </c>
      <c r="Q49" s="66">
        <v>7755</v>
      </c>
      <c r="R49">
        <v>8012</v>
      </c>
      <c r="S49" s="66">
        <v>5933</v>
      </c>
      <c r="T49">
        <v>6352</v>
      </c>
    </row>
    <row r="50" spans="14:49" x14ac:dyDescent="0.3">
      <c r="N50">
        <v>48</v>
      </c>
      <c r="O50">
        <v>987</v>
      </c>
      <c r="P50">
        <v>6833</v>
      </c>
      <c r="Q50">
        <v>244</v>
      </c>
      <c r="R50">
        <v>9501</v>
      </c>
      <c r="S50">
        <v>3216</v>
      </c>
      <c r="T50">
        <v>4731</v>
      </c>
      <c r="V50" s="38" t="s">
        <v>709</v>
      </c>
      <c r="W50" s="17" t="s">
        <v>44</v>
      </c>
      <c r="X50" s="18" t="s">
        <v>45</v>
      </c>
      <c r="Y50" s="18" t="s">
        <v>71</v>
      </c>
      <c r="Z50" s="19" t="s">
        <v>46</v>
      </c>
      <c r="AA50" s="19" t="s">
        <v>47</v>
      </c>
      <c r="AB50" s="19" t="s">
        <v>48</v>
      </c>
      <c r="AC50" s="19" t="s">
        <v>150</v>
      </c>
      <c r="AD50" s="19" t="s">
        <v>49</v>
      </c>
      <c r="AE50" s="19" t="s">
        <v>50</v>
      </c>
      <c r="AF50" s="20" t="s">
        <v>163</v>
      </c>
      <c r="AG50" s="20" t="s">
        <v>51</v>
      </c>
      <c r="AH50" s="20" t="s">
        <v>52</v>
      </c>
      <c r="AI50" s="20" t="s">
        <v>53</v>
      </c>
      <c r="AJ50" s="20" t="s">
        <v>151</v>
      </c>
      <c r="AK50" s="20" t="s">
        <v>55</v>
      </c>
      <c r="AL50" s="20" t="s">
        <v>152</v>
      </c>
      <c r="AM50" s="20" t="s">
        <v>153</v>
      </c>
      <c r="AN50" s="20" t="s">
        <v>154</v>
      </c>
      <c r="AO50" s="20" t="s">
        <v>155</v>
      </c>
      <c r="AP50" s="20" t="s">
        <v>161</v>
      </c>
      <c r="AQ50" s="80" t="s">
        <v>156</v>
      </c>
      <c r="AR50" s="81"/>
      <c r="AU50" t="str">
        <f t="shared" ref="AU50:AU62" si="1">IF(COUNT(AJ50:AL50)=0,"",SUM(AJ50:AL50))</f>
        <v/>
      </c>
    </row>
    <row r="51" spans="14:49" x14ac:dyDescent="0.3">
      <c r="N51">
        <v>49</v>
      </c>
      <c r="O51">
        <v>3009</v>
      </c>
      <c r="P51">
        <v>7333</v>
      </c>
      <c r="Q51">
        <v>9534</v>
      </c>
      <c r="R51">
        <v>9059</v>
      </c>
      <c r="S51">
        <v>8717</v>
      </c>
      <c r="T51">
        <v>2403</v>
      </c>
      <c r="W51" cm="1">
        <f t="array" ref="W51:AO51">_xlfn._xlws.FILTER(Tabel2[], Tabel2[team_number]=F3, "Geen resultaten")</f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U51">
        <f t="shared" si="1"/>
        <v>0</v>
      </c>
    </row>
    <row r="52" spans="14:49" x14ac:dyDescent="0.3">
      <c r="N52">
        <v>50</v>
      </c>
      <c r="O52" s="66">
        <v>7425</v>
      </c>
      <c r="P52" s="66">
        <v>10905</v>
      </c>
      <c r="Q52">
        <v>3944</v>
      </c>
      <c r="R52" s="66">
        <v>1828</v>
      </c>
      <c r="S52">
        <v>6479</v>
      </c>
      <c r="T52">
        <v>10506</v>
      </c>
      <c r="AU52" t="str">
        <f t="shared" si="1"/>
        <v/>
      </c>
    </row>
    <row r="53" spans="14:49" x14ac:dyDescent="0.3">
      <c r="N53">
        <v>51</v>
      </c>
      <c r="O53">
        <v>3245</v>
      </c>
      <c r="P53" s="66">
        <v>10988</v>
      </c>
      <c r="Q53">
        <v>10183</v>
      </c>
      <c r="R53">
        <v>2478</v>
      </c>
      <c r="S53">
        <v>996</v>
      </c>
      <c r="T53">
        <v>698</v>
      </c>
      <c r="W53" s="31" t="s">
        <v>0</v>
      </c>
      <c r="X53" s="31" t="s">
        <v>1</v>
      </c>
      <c r="Y53" s="31" t="s">
        <v>2</v>
      </c>
      <c r="Z53" s="84" t="s">
        <v>3</v>
      </c>
      <c r="AA53" s="31" t="s">
        <v>4</v>
      </c>
      <c r="AB53" s="31" t="s">
        <v>5</v>
      </c>
      <c r="AC53" s="31" t="s">
        <v>6</v>
      </c>
      <c r="AD53" s="32" t="s">
        <v>7</v>
      </c>
      <c r="AE53" s="32" t="s">
        <v>8</v>
      </c>
      <c r="AF53" s="32" t="s">
        <v>9</v>
      </c>
      <c r="AG53" s="33" t="s">
        <v>72</v>
      </c>
      <c r="AH53" s="33" t="s">
        <v>73</v>
      </c>
      <c r="AI53" s="33" t="s">
        <v>74</v>
      </c>
      <c r="AJ53" s="85" t="s">
        <v>180</v>
      </c>
      <c r="AK53" s="85" t="s">
        <v>181</v>
      </c>
      <c r="AL53" s="85" t="s">
        <v>182</v>
      </c>
      <c r="AM53" s="33" t="s">
        <v>75</v>
      </c>
      <c r="AN53" s="33" t="s">
        <v>76</v>
      </c>
      <c r="AO53" s="34" t="s">
        <v>11</v>
      </c>
      <c r="AP53" s="34" t="s">
        <v>12</v>
      </c>
      <c r="AQ53" s="34" t="s">
        <v>13</v>
      </c>
      <c r="AR53" s="86" t="s">
        <v>14</v>
      </c>
      <c r="AS53" s="35" t="s">
        <v>148</v>
      </c>
      <c r="AU53" t="str">
        <f t="shared" si="1"/>
        <v/>
      </c>
    </row>
    <row r="54" spans="14:49" x14ac:dyDescent="0.3">
      <c r="N54">
        <v>52</v>
      </c>
      <c r="O54">
        <v>11176</v>
      </c>
      <c r="P54" s="66">
        <v>3243</v>
      </c>
      <c r="Q54">
        <v>9777</v>
      </c>
      <c r="R54">
        <v>2486</v>
      </c>
      <c r="S54">
        <v>2662</v>
      </c>
      <c r="T54">
        <v>10114</v>
      </c>
      <c r="W54" cm="1">
        <f t="array" ref="W54:AS54">_xlfn._xlws.FILTER(Tabel1[], Tabel1[Team Number]=F3, "Geen resultaten")</f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U54">
        <f t="shared" si="1"/>
        <v>0</v>
      </c>
    </row>
    <row r="55" spans="14:49" x14ac:dyDescent="0.3">
      <c r="N55">
        <v>53</v>
      </c>
      <c r="O55" s="66">
        <v>11100</v>
      </c>
      <c r="P55">
        <v>9704</v>
      </c>
      <c r="Q55">
        <v>2840</v>
      </c>
      <c r="R55" s="66">
        <v>3019</v>
      </c>
      <c r="S55">
        <v>1212</v>
      </c>
      <c r="T55">
        <v>4146</v>
      </c>
      <c r="AU55" t="str">
        <f t="shared" si="1"/>
        <v/>
      </c>
    </row>
    <row r="56" spans="14:49" x14ac:dyDescent="0.3">
      <c r="N56">
        <v>54</v>
      </c>
      <c r="O56">
        <v>9091</v>
      </c>
      <c r="P56">
        <v>1410</v>
      </c>
      <c r="Q56">
        <v>2080</v>
      </c>
      <c r="R56">
        <v>3424</v>
      </c>
      <c r="S56" s="66">
        <v>10380</v>
      </c>
      <c r="T56" s="66">
        <v>60</v>
      </c>
      <c r="AU56" t="str">
        <f t="shared" si="1"/>
        <v/>
      </c>
    </row>
    <row r="57" spans="14:49" x14ac:dyDescent="0.3">
      <c r="N57">
        <v>55</v>
      </c>
      <c r="O57" s="66">
        <v>2122</v>
      </c>
      <c r="P57">
        <v>10933</v>
      </c>
      <c r="Q57">
        <v>10980</v>
      </c>
      <c r="R57">
        <v>7426</v>
      </c>
      <c r="S57">
        <v>1165</v>
      </c>
      <c r="T57" s="66">
        <v>991</v>
      </c>
      <c r="AU57" t="str">
        <f t="shared" si="1"/>
        <v/>
      </c>
    </row>
    <row r="58" spans="14:49" x14ac:dyDescent="0.3">
      <c r="N58">
        <v>56</v>
      </c>
      <c r="O58" s="66">
        <v>6413</v>
      </c>
      <c r="P58">
        <v>11479</v>
      </c>
      <c r="Q58">
        <v>6833</v>
      </c>
      <c r="R58">
        <v>3009</v>
      </c>
      <c r="S58">
        <v>288</v>
      </c>
      <c r="T58">
        <v>244</v>
      </c>
      <c r="AU58" t="str">
        <f t="shared" si="1"/>
        <v/>
      </c>
      <c r="AW58" s="93" t="s">
        <v>188</v>
      </c>
    </row>
    <row r="59" spans="14:49" x14ac:dyDescent="0.3">
      <c r="N59">
        <v>57</v>
      </c>
      <c r="O59">
        <v>698</v>
      </c>
      <c r="P59">
        <v>10506</v>
      </c>
      <c r="Q59">
        <v>3245</v>
      </c>
      <c r="R59">
        <v>2403</v>
      </c>
      <c r="S59">
        <v>4731</v>
      </c>
      <c r="T59" s="66">
        <v>5933</v>
      </c>
      <c r="AU59" t="str">
        <f t="shared" si="1"/>
        <v/>
      </c>
      <c r="AW59" s="93">
        <f>AVERAGE(AU54:AU64)</f>
        <v>0</v>
      </c>
    </row>
    <row r="60" spans="14:49" x14ac:dyDescent="0.3">
      <c r="N60">
        <v>58</v>
      </c>
      <c r="O60" s="66">
        <v>1828</v>
      </c>
      <c r="P60">
        <v>10114</v>
      </c>
      <c r="Q60">
        <v>10183</v>
      </c>
      <c r="R60">
        <v>9534</v>
      </c>
      <c r="S60">
        <v>6352</v>
      </c>
      <c r="T60">
        <v>2662</v>
      </c>
      <c r="AU60" t="str">
        <f t="shared" si="1"/>
        <v/>
      </c>
    </row>
    <row r="61" spans="14:49" x14ac:dyDescent="0.3">
      <c r="N61">
        <v>59</v>
      </c>
      <c r="O61">
        <v>9501</v>
      </c>
      <c r="P61">
        <v>9059</v>
      </c>
      <c r="Q61" s="66">
        <v>10905</v>
      </c>
      <c r="R61">
        <v>9777</v>
      </c>
      <c r="S61">
        <v>8012</v>
      </c>
      <c r="T61">
        <v>4146</v>
      </c>
      <c r="AU61" t="str">
        <f t="shared" si="1"/>
        <v/>
      </c>
    </row>
    <row r="62" spans="14:49" x14ac:dyDescent="0.3">
      <c r="N62">
        <v>60</v>
      </c>
      <c r="O62">
        <v>6479</v>
      </c>
      <c r="P62">
        <v>996</v>
      </c>
      <c r="Q62" s="66">
        <v>10988</v>
      </c>
      <c r="R62">
        <v>3424</v>
      </c>
      <c r="S62">
        <v>1212</v>
      </c>
      <c r="T62">
        <v>2080</v>
      </c>
      <c r="AU62" t="str">
        <f t="shared" si="1"/>
        <v/>
      </c>
    </row>
    <row r="63" spans="14:49" x14ac:dyDescent="0.3">
      <c r="N63">
        <v>61</v>
      </c>
      <c r="O63">
        <v>11100</v>
      </c>
      <c r="P63">
        <v>7755</v>
      </c>
      <c r="Q63">
        <v>7425</v>
      </c>
      <c r="R63">
        <v>7333</v>
      </c>
      <c r="S63">
        <v>10380</v>
      </c>
      <c r="T63">
        <v>2122</v>
      </c>
    </row>
    <row r="64" spans="14:49" x14ac:dyDescent="0.3">
      <c r="N64">
        <v>62</v>
      </c>
      <c r="O64">
        <v>2478</v>
      </c>
      <c r="P64">
        <v>7426</v>
      </c>
      <c r="Q64">
        <v>11176</v>
      </c>
      <c r="R64">
        <v>1165</v>
      </c>
      <c r="S64">
        <v>9091</v>
      </c>
      <c r="T64" s="66">
        <v>3243</v>
      </c>
    </row>
    <row r="65" spans="14:49" x14ac:dyDescent="0.3">
      <c r="N65">
        <v>63</v>
      </c>
      <c r="O65">
        <v>1410</v>
      </c>
      <c r="P65">
        <v>2486</v>
      </c>
      <c r="Q65" s="66">
        <v>991</v>
      </c>
      <c r="R65" s="66">
        <v>3019</v>
      </c>
      <c r="S65">
        <v>3216</v>
      </c>
      <c r="T65">
        <v>9704</v>
      </c>
    </row>
    <row r="66" spans="14:49" x14ac:dyDescent="0.3">
      <c r="N66">
        <v>64</v>
      </c>
      <c r="O66">
        <v>3944</v>
      </c>
      <c r="P66" s="66">
        <v>60</v>
      </c>
      <c r="Q66">
        <v>8717</v>
      </c>
      <c r="R66">
        <v>2840</v>
      </c>
      <c r="S66">
        <v>10980</v>
      </c>
      <c r="T66">
        <v>987</v>
      </c>
      <c r="V66" s="40" t="s">
        <v>69</v>
      </c>
      <c r="W66" s="17" t="s">
        <v>44</v>
      </c>
      <c r="X66" s="18" t="s">
        <v>45</v>
      </c>
      <c r="Y66" s="18" t="s">
        <v>71</v>
      </c>
      <c r="Z66" s="19" t="s">
        <v>46</v>
      </c>
      <c r="AA66" s="19" t="s">
        <v>47</v>
      </c>
      <c r="AB66" s="19" t="s">
        <v>48</v>
      </c>
      <c r="AC66" s="19" t="s">
        <v>150</v>
      </c>
      <c r="AD66" s="19" t="s">
        <v>49</v>
      </c>
      <c r="AE66" s="19" t="s">
        <v>50</v>
      </c>
      <c r="AF66" s="20" t="s">
        <v>163</v>
      </c>
      <c r="AG66" s="20" t="s">
        <v>51</v>
      </c>
      <c r="AH66" s="20" t="s">
        <v>52</v>
      </c>
      <c r="AI66" s="20" t="s">
        <v>53</v>
      </c>
      <c r="AJ66" s="20" t="s">
        <v>151</v>
      </c>
      <c r="AK66" s="20" t="s">
        <v>55</v>
      </c>
      <c r="AL66" s="20" t="s">
        <v>152</v>
      </c>
      <c r="AM66" s="20" t="s">
        <v>153</v>
      </c>
      <c r="AN66" s="20" t="s">
        <v>154</v>
      </c>
      <c r="AO66" s="20" t="s">
        <v>155</v>
      </c>
      <c r="AP66" s="20" t="s">
        <v>161</v>
      </c>
      <c r="AQ66" s="80" t="s">
        <v>156</v>
      </c>
      <c r="AR66" s="81"/>
      <c r="AU66" t="str">
        <f t="shared" ref="AU66:AU110" si="2">IF(COUNT(AJ66:AL66)=0,"",SUM(AJ66:AL66))</f>
        <v/>
      </c>
    </row>
    <row r="67" spans="14:49" x14ac:dyDescent="0.3">
      <c r="N67">
        <v>65</v>
      </c>
      <c r="O67">
        <v>3245</v>
      </c>
      <c r="P67">
        <v>10933</v>
      </c>
      <c r="Q67" s="66">
        <v>6413</v>
      </c>
      <c r="R67">
        <v>6833</v>
      </c>
      <c r="S67">
        <v>10506</v>
      </c>
      <c r="T67">
        <v>9777</v>
      </c>
      <c r="W67" t="str" cm="1">
        <f t="array" ref="W67">_xlfn._xlws.FILTER(Tabel2[], Tabel2[team_number]=I3, "Geen resultaten")</f>
        <v>Geen resultaten</v>
      </c>
      <c r="AU67" t="str">
        <f t="shared" si="2"/>
        <v/>
      </c>
    </row>
    <row r="68" spans="14:49" x14ac:dyDescent="0.3">
      <c r="N68">
        <v>66</v>
      </c>
      <c r="O68" s="66">
        <v>10988</v>
      </c>
      <c r="P68">
        <v>4146</v>
      </c>
      <c r="Q68">
        <v>4731</v>
      </c>
      <c r="R68">
        <v>11479</v>
      </c>
      <c r="S68">
        <v>9534</v>
      </c>
      <c r="T68">
        <v>6479</v>
      </c>
      <c r="AU68" t="str">
        <f t="shared" si="2"/>
        <v/>
      </c>
    </row>
    <row r="69" spans="14:49" x14ac:dyDescent="0.3">
      <c r="N69">
        <v>67</v>
      </c>
      <c r="O69" s="66">
        <v>1828</v>
      </c>
      <c r="P69">
        <v>3424</v>
      </c>
      <c r="Q69">
        <v>11100</v>
      </c>
      <c r="R69">
        <v>288</v>
      </c>
      <c r="S69">
        <v>2403</v>
      </c>
      <c r="T69">
        <v>9501</v>
      </c>
      <c r="W69" s="31" t="s">
        <v>0</v>
      </c>
      <c r="X69" s="31" t="s">
        <v>1</v>
      </c>
      <c r="Y69" s="31" t="s">
        <v>2</v>
      </c>
      <c r="Z69" s="84" t="s">
        <v>3</v>
      </c>
      <c r="AA69" s="31" t="s">
        <v>4</v>
      </c>
      <c r="AB69" s="31" t="s">
        <v>5</v>
      </c>
      <c r="AC69" s="31" t="s">
        <v>6</v>
      </c>
      <c r="AD69" s="32" t="s">
        <v>7</v>
      </c>
      <c r="AE69" s="32" t="s">
        <v>8</v>
      </c>
      <c r="AF69" s="32" t="s">
        <v>9</v>
      </c>
      <c r="AG69" s="33" t="s">
        <v>72</v>
      </c>
      <c r="AH69" s="33" t="s">
        <v>73</v>
      </c>
      <c r="AI69" s="33" t="s">
        <v>74</v>
      </c>
      <c r="AJ69" s="85" t="s">
        <v>180</v>
      </c>
      <c r="AK69" s="85" t="s">
        <v>181</v>
      </c>
      <c r="AL69" s="85" t="s">
        <v>182</v>
      </c>
      <c r="AM69" s="33" t="s">
        <v>75</v>
      </c>
      <c r="AN69" s="33" t="s">
        <v>76</v>
      </c>
      <c r="AO69" s="34" t="s">
        <v>11</v>
      </c>
      <c r="AP69" s="34" t="s">
        <v>12</v>
      </c>
      <c r="AQ69" s="34" t="s">
        <v>13</v>
      </c>
      <c r="AR69" s="86" t="s">
        <v>14</v>
      </c>
      <c r="AS69" s="35" t="s">
        <v>148</v>
      </c>
      <c r="AU69" t="str">
        <f t="shared" si="2"/>
        <v/>
      </c>
    </row>
    <row r="70" spans="14:49" x14ac:dyDescent="0.3">
      <c r="N70">
        <v>68</v>
      </c>
      <c r="O70">
        <v>2122</v>
      </c>
      <c r="P70">
        <v>6352</v>
      </c>
      <c r="Q70">
        <v>698</v>
      </c>
      <c r="R70">
        <v>9091</v>
      </c>
      <c r="S70">
        <v>11176</v>
      </c>
      <c r="T70">
        <v>9059</v>
      </c>
      <c r="W70" t="str" cm="1">
        <f t="array" ref="W70:AS74">_xlfn._xlws.FILTER(Tabel1[], Tabel1[Team Number]=I3, "Geen resultaten")</f>
        <v>Anita Karki</v>
      </c>
      <c r="X70">
        <v>36</v>
      </c>
      <c r="Y70" t="str">
        <v>B1</v>
      </c>
      <c r="Z70">
        <v>2122</v>
      </c>
      <c r="AA70" t="str">
        <v>O</v>
      </c>
      <c r="AB70" t="str">
        <v>false</v>
      </c>
      <c r="AC70" t="str">
        <v>true</v>
      </c>
      <c r="AD70" t="str">
        <v>true</v>
      </c>
      <c r="AE70" t="str">
        <v>false</v>
      </c>
      <c r="AF70" t="str">
        <v>NA</v>
      </c>
      <c r="AG70" t="str">
        <v>false</v>
      </c>
      <c r="AH70" t="str">
        <v>false</v>
      </c>
      <c r="AI70" t="str">
        <v>false</v>
      </c>
      <c r="AJ70">
        <v>0</v>
      </c>
      <c r="AK70">
        <v>0</v>
      </c>
      <c r="AL70">
        <v>250</v>
      </c>
      <c r="AM70">
        <v>94</v>
      </c>
      <c r="AN70" t="str">
        <v>false</v>
      </c>
      <c r="AO70" t="str">
        <v>NA</v>
      </c>
      <c r="AP70" t="str">
        <v>false</v>
      </c>
      <c r="AQ70" t="str">
        <v>false</v>
      </c>
      <c r="AR70" t="str">
        <v>vaak schieten ze raak af en toe niet is niet bij te houden</v>
      </c>
      <c r="AS70">
        <v>5</v>
      </c>
      <c r="AU70">
        <f t="shared" si="2"/>
        <v>250</v>
      </c>
    </row>
    <row r="71" spans="14:49" x14ac:dyDescent="0.3">
      <c r="N71">
        <v>69</v>
      </c>
      <c r="O71">
        <v>8012</v>
      </c>
      <c r="P71">
        <v>244</v>
      </c>
      <c r="Q71">
        <v>1165</v>
      </c>
      <c r="R71" s="66">
        <v>991</v>
      </c>
      <c r="S71">
        <v>1212</v>
      </c>
      <c r="T71">
        <v>9704</v>
      </c>
      <c r="W71" t="str">
        <v>JV</v>
      </c>
      <c r="X71">
        <v>45</v>
      </c>
      <c r="Y71" t="str">
        <v>R3</v>
      </c>
      <c r="Z71">
        <v>2122</v>
      </c>
      <c r="AA71" t="str">
        <v>H</v>
      </c>
      <c r="AB71" t="str">
        <v>false</v>
      </c>
      <c r="AC71" t="str">
        <v>true</v>
      </c>
      <c r="AD71" t="str">
        <v>true</v>
      </c>
      <c r="AE71" t="str">
        <v>true</v>
      </c>
      <c r="AF71" t="str">
        <v>NA</v>
      </c>
      <c r="AG71" t="str">
        <v>false</v>
      </c>
      <c r="AH71" t="str">
        <v>false</v>
      </c>
      <c r="AI71" t="str">
        <v>false</v>
      </c>
      <c r="AJ71">
        <v>213</v>
      </c>
      <c r="AK71">
        <v>0</v>
      </c>
      <c r="AL71">
        <v>0</v>
      </c>
      <c r="AM71">
        <v>92</v>
      </c>
      <c r="AN71" t="str">
        <v>false</v>
      </c>
      <c r="AO71" t="str">
        <v>NA</v>
      </c>
      <c r="AP71" t="str">
        <v>false</v>
      </c>
      <c r="AQ71" t="str">
        <v>false</v>
      </c>
      <c r="AR71" t="str">
        <v xml:space="preserve">Absolute flawless offense </v>
      </c>
      <c r="AS71">
        <v>5</v>
      </c>
      <c r="AU71">
        <f t="shared" si="2"/>
        <v>213</v>
      </c>
    </row>
    <row r="72" spans="14:49" x14ac:dyDescent="0.3">
      <c r="N72">
        <v>70</v>
      </c>
      <c r="O72">
        <v>10905</v>
      </c>
      <c r="P72">
        <v>3019</v>
      </c>
      <c r="Q72">
        <v>5933</v>
      </c>
      <c r="R72" s="66">
        <v>60</v>
      </c>
      <c r="S72">
        <v>7333</v>
      </c>
      <c r="T72">
        <v>3243</v>
      </c>
      <c r="W72" t="str">
        <v>GD</v>
      </c>
      <c r="X72">
        <v>55</v>
      </c>
      <c r="Y72" t="str">
        <v>R1</v>
      </c>
      <c r="Z72">
        <v>2122</v>
      </c>
      <c r="AA72" t="str">
        <v>H</v>
      </c>
      <c r="AB72" t="str">
        <v>false</v>
      </c>
      <c r="AC72" t="str">
        <v>true</v>
      </c>
      <c r="AD72" t="str">
        <v>true</v>
      </c>
      <c r="AE72" t="str">
        <v>true</v>
      </c>
      <c r="AF72" t="str">
        <v>NA</v>
      </c>
      <c r="AG72" t="str">
        <v>false</v>
      </c>
      <c r="AH72" t="str">
        <v>false</v>
      </c>
      <c r="AI72" t="str">
        <v>false</v>
      </c>
      <c r="AJ72">
        <v>64</v>
      </c>
      <c r="AK72">
        <v>0</v>
      </c>
      <c r="AL72">
        <v>90</v>
      </c>
      <c r="AM72">
        <v>92</v>
      </c>
      <c r="AN72" t="str">
        <v>true</v>
      </c>
      <c r="AO72" t="str">
        <v>NA</v>
      </c>
      <c r="AP72" t="str">
        <v>false</v>
      </c>
      <c r="AQ72" t="str">
        <v>false</v>
      </c>
      <c r="AR72">
        <v>0</v>
      </c>
      <c r="AS72">
        <v>4</v>
      </c>
      <c r="AU72">
        <f t="shared" si="2"/>
        <v>154</v>
      </c>
    </row>
    <row r="73" spans="14:49" x14ac:dyDescent="0.3">
      <c r="N73">
        <v>71</v>
      </c>
      <c r="O73">
        <v>8717</v>
      </c>
      <c r="P73">
        <v>2840</v>
      </c>
      <c r="Q73">
        <v>2662</v>
      </c>
      <c r="R73">
        <v>996</v>
      </c>
      <c r="S73">
        <v>7755</v>
      </c>
      <c r="T73">
        <v>7426</v>
      </c>
      <c r="W73" t="str">
        <v>BW</v>
      </c>
      <c r="X73">
        <v>68</v>
      </c>
      <c r="Y73" t="str">
        <v>R1</v>
      </c>
      <c r="Z73">
        <v>2122</v>
      </c>
      <c r="AA73" t="str">
        <v>D</v>
      </c>
      <c r="AB73" t="str">
        <v>false</v>
      </c>
      <c r="AC73" t="str">
        <v>true</v>
      </c>
      <c r="AD73" t="str">
        <v>true</v>
      </c>
      <c r="AE73" t="str">
        <v>true</v>
      </c>
      <c r="AF73" t="str">
        <v>NA</v>
      </c>
      <c r="AG73" t="str">
        <v>true</v>
      </c>
      <c r="AH73" t="str">
        <v>false</v>
      </c>
      <c r="AI73" t="str">
        <v>false</v>
      </c>
      <c r="AJ73">
        <v>0</v>
      </c>
      <c r="AK73">
        <v>0</v>
      </c>
      <c r="AL73">
        <v>290</v>
      </c>
      <c r="AM73">
        <v>90</v>
      </c>
      <c r="AN73" t="str">
        <v>false</v>
      </c>
      <c r="AO73" t="str">
        <v>NA</v>
      </c>
      <c r="AP73" t="str">
        <v>false</v>
      </c>
      <c r="AQ73" t="str">
        <v>false</v>
      </c>
      <c r="AR73">
        <v>0</v>
      </c>
      <c r="AS73">
        <v>5</v>
      </c>
      <c r="AU73">
        <f t="shared" si="2"/>
        <v>290</v>
      </c>
    </row>
    <row r="74" spans="14:49" x14ac:dyDescent="0.3">
      <c r="N74">
        <v>72</v>
      </c>
      <c r="O74">
        <v>987</v>
      </c>
      <c r="P74">
        <v>1410</v>
      </c>
      <c r="Q74">
        <v>10933</v>
      </c>
      <c r="R74">
        <v>10183</v>
      </c>
      <c r="S74">
        <v>2486</v>
      </c>
      <c r="T74">
        <v>7425</v>
      </c>
      <c r="W74" t="str">
        <v>Anita Karki</v>
      </c>
      <c r="X74">
        <v>75</v>
      </c>
      <c r="Y74" t="str">
        <v>B2</v>
      </c>
      <c r="Z74">
        <v>2122</v>
      </c>
      <c r="AA74" t="str">
        <v>O</v>
      </c>
      <c r="AB74" t="str">
        <v>false</v>
      </c>
      <c r="AC74" t="str">
        <v>true</v>
      </c>
      <c r="AD74" t="str">
        <v>true</v>
      </c>
      <c r="AE74" t="str">
        <v>true</v>
      </c>
      <c r="AF74" t="str">
        <v>NA</v>
      </c>
      <c r="AG74" t="str">
        <v>true</v>
      </c>
      <c r="AH74" t="str">
        <v>false</v>
      </c>
      <c r="AI74" t="str">
        <v>false</v>
      </c>
      <c r="AJ74">
        <v>0</v>
      </c>
      <c r="AK74">
        <v>0</v>
      </c>
      <c r="AL74">
        <v>200</v>
      </c>
      <c r="AM74">
        <v>95</v>
      </c>
      <c r="AN74" t="str">
        <v>false</v>
      </c>
      <c r="AO74" t="str">
        <v>NA</v>
      </c>
      <c r="AP74" t="str">
        <v>false</v>
      </c>
      <c r="AQ74" t="str">
        <v>false</v>
      </c>
      <c r="AR74">
        <v>0</v>
      </c>
      <c r="AS74">
        <v>5</v>
      </c>
      <c r="AU74">
        <f t="shared" si="2"/>
        <v>200</v>
      </c>
      <c r="AW74" s="93" t="s">
        <v>188</v>
      </c>
    </row>
    <row r="75" spans="14:49" x14ac:dyDescent="0.3">
      <c r="N75">
        <v>73</v>
      </c>
      <c r="O75">
        <v>10114</v>
      </c>
      <c r="P75">
        <v>3216</v>
      </c>
      <c r="Q75">
        <v>3944</v>
      </c>
      <c r="R75">
        <v>2080</v>
      </c>
      <c r="S75">
        <v>3009</v>
      </c>
      <c r="T75">
        <v>2478</v>
      </c>
      <c r="AU75" t="str">
        <f t="shared" si="2"/>
        <v/>
      </c>
      <c r="AW75" s="93">
        <f>AVERAGE(AU70:AU81)</f>
        <v>221.4</v>
      </c>
    </row>
    <row r="76" spans="14:49" x14ac:dyDescent="0.3">
      <c r="N76">
        <v>74</v>
      </c>
      <c r="O76">
        <v>10380</v>
      </c>
      <c r="P76">
        <v>2403</v>
      </c>
      <c r="Q76">
        <v>10506</v>
      </c>
      <c r="R76">
        <v>10980</v>
      </c>
      <c r="S76">
        <v>9501</v>
      </c>
      <c r="T76">
        <v>6352</v>
      </c>
      <c r="AU76" t="str">
        <f t="shared" si="2"/>
        <v/>
      </c>
    </row>
    <row r="77" spans="14:49" x14ac:dyDescent="0.3">
      <c r="N77">
        <v>75</v>
      </c>
      <c r="O77">
        <v>288</v>
      </c>
      <c r="P77">
        <v>8012</v>
      </c>
      <c r="Q77">
        <v>9534</v>
      </c>
      <c r="R77">
        <v>6479</v>
      </c>
      <c r="S77">
        <v>2122</v>
      </c>
      <c r="T77">
        <v>3245</v>
      </c>
      <c r="AU77" t="str">
        <f t="shared" si="2"/>
        <v/>
      </c>
    </row>
    <row r="78" spans="14:49" x14ac:dyDescent="0.3">
      <c r="N78">
        <v>76</v>
      </c>
      <c r="O78">
        <v>7333</v>
      </c>
      <c r="P78">
        <v>10988</v>
      </c>
      <c r="Q78">
        <v>1828</v>
      </c>
      <c r="R78">
        <v>60</v>
      </c>
      <c r="S78">
        <v>6413</v>
      </c>
      <c r="T78">
        <v>991</v>
      </c>
      <c r="AU78" t="str">
        <f t="shared" si="2"/>
        <v/>
      </c>
    </row>
    <row r="79" spans="14:49" x14ac:dyDescent="0.3">
      <c r="N79">
        <v>77</v>
      </c>
      <c r="O79">
        <v>9704</v>
      </c>
      <c r="P79">
        <v>9091</v>
      </c>
      <c r="Q79">
        <v>7755</v>
      </c>
      <c r="R79">
        <v>9777</v>
      </c>
      <c r="S79">
        <v>4731</v>
      </c>
      <c r="T79">
        <v>3019</v>
      </c>
      <c r="AU79" t="str">
        <f t="shared" si="2"/>
        <v/>
      </c>
    </row>
    <row r="80" spans="14:49" x14ac:dyDescent="0.3">
      <c r="N80">
        <v>77</v>
      </c>
      <c r="O80">
        <v>244</v>
      </c>
      <c r="P80">
        <v>2662</v>
      </c>
      <c r="Q80">
        <v>698</v>
      </c>
      <c r="R80">
        <v>3424</v>
      </c>
      <c r="S80">
        <v>7425</v>
      </c>
      <c r="T80">
        <v>10933</v>
      </c>
      <c r="AU80" t="str">
        <f t="shared" si="2"/>
        <v/>
      </c>
    </row>
    <row r="81" spans="14:49" x14ac:dyDescent="0.3">
      <c r="N81">
        <v>77</v>
      </c>
      <c r="O81">
        <v>7426</v>
      </c>
      <c r="P81">
        <v>8717</v>
      </c>
      <c r="Q81">
        <v>11100</v>
      </c>
      <c r="R81">
        <v>10905</v>
      </c>
      <c r="S81">
        <v>1410</v>
      </c>
      <c r="T81">
        <v>11479</v>
      </c>
      <c r="AU81" t="str">
        <f t="shared" si="2"/>
        <v/>
      </c>
    </row>
    <row r="82" spans="14:49" x14ac:dyDescent="0.3">
      <c r="N82">
        <v>77</v>
      </c>
      <c r="O82">
        <v>3009</v>
      </c>
      <c r="P82">
        <v>11176</v>
      </c>
      <c r="Q82">
        <v>1165</v>
      </c>
      <c r="R82">
        <v>987</v>
      </c>
      <c r="S82">
        <v>5933</v>
      </c>
      <c r="T82">
        <v>996</v>
      </c>
      <c r="V82" s="39" t="s">
        <v>82</v>
      </c>
      <c r="W82" s="17" t="s">
        <v>44</v>
      </c>
      <c r="X82" s="18" t="s">
        <v>45</v>
      </c>
      <c r="Y82" s="18" t="s">
        <v>71</v>
      </c>
      <c r="Z82" s="19" t="s">
        <v>46</v>
      </c>
      <c r="AA82" s="19" t="s">
        <v>47</v>
      </c>
      <c r="AB82" s="19" t="s">
        <v>48</v>
      </c>
      <c r="AC82" s="19" t="s">
        <v>150</v>
      </c>
      <c r="AD82" s="19" t="s">
        <v>49</v>
      </c>
      <c r="AE82" s="19" t="s">
        <v>50</v>
      </c>
      <c r="AF82" s="20" t="s">
        <v>163</v>
      </c>
      <c r="AG82" s="20" t="s">
        <v>51</v>
      </c>
      <c r="AH82" s="20" t="s">
        <v>52</v>
      </c>
      <c r="AI82" s="20" t="s">
        <v>53</v>
      </c>
      <c r="AJ82" s="20" t="s">
        <v>151</v>
      </c>
      <c r="AK82" s="20" t="s">
        <v>55</v>
      </c>
      <c r="AL82" s="20" t="s">
        <v>152</v>
      </c>
      <c r="AM82" s="20" t="s">
        <v>153</v>
      </c>
      <c r="AN82" s="20" t="s">
        <v>154</v>
      </c>
      <c r="AO82" s="20" t="s">
        <v>155</v>
      </c>
      <c r="AP82" s="20" t="s">
        <v>161</v>
      </c>
      <c r="AQ82" s="80" t="s">
        <v>156</v>
      </c>
      <c r="AR82" s="81"/>
      <c r="AU82" t="str">
        <f t="shared" si="2"/>
        <v/>
      </c>
    </row>
    <row r="83" spans="14:49" x14ac:dyDescent="0.3">
      <c r="N83">
        <v>77</v>
      </c>
      <c r="O83">
        <v>1212</v>
      </c>
      <c r="P83">
        <v>2478</v>
      </c>
      <c r="Q83">
        <v>2486</v>
      </c>
      <c r="R83">
        <v>10980</v>
      </c>
      <c r="S83">
        <v>4146</v>
      </c>
      <c r="T83">
        <v>2080</v>
      </c>
      <c r="W83" t="str" cm="1">
        <f t="array" ref="W83:AO83">_xlfn._xlws.FILTER(Tabel2[], Tabel2[team_number]=J3, "Geen resultaten")</f>
        <v>Mil g</v>
      </c>
      <c r="X83" t="str">
        <v>Pair of dice</v>
      </c>
      <c r="Y83">
        <v>7426</v>
      </c>
      <c r="Z83">
        <v>112</v>
      </c>
      <c r="AA83" t="str">
        <v>21.5</v>
      </c>
      <c r="AB83">
        <v>27.27</v>
      </c>
      <c r="AC83" t="str">
        <v>40-50</v>
      </c>
      <c r="AD83" t="str">
        <v>Swerve</v>
      </c>
      <c r="AE83" t="str">
        <v>Outpost</v>
      </c>
      <c r="AF83" t="str">
        <v>2 version, middle and shoot Middle , shoot back and climb</v>
      </c>
      <c r="AG83" t="str">
        <v>L1</v>
      </c>
      <c r="AH83" t="str">
        <v>All sides</v>
      </c>
      <c r="AI83">
        <v>0</v>
      </c>
      <c r="AJ83" t="str">
        <v>true</v>
      </c>
      <c r="AK83" t="str">
        <v>true</v>
      </c>
      <c r="AL83" t="str">
        <v>false</v>
      </c>
      <c r="AM83" t="str">
        <v>true</v>
      </c>
      <c r="AN83" t="str">
        <v>Both</v>
      </c>
      <c r="AO83" t="str">
        <v>3 limelights, alignment , one of sides.</v>
      </c>
      <c r="AU83" t="str">
        <f t="shared" si="2"/>
        <v/>
      </c>
    </row>
    <row r="84" spans="14:49" x14ac:dyDescent="0.3">
      <c r="N84">
        <v>77</v>
      </c>
      <c r="O84">
        <v>3243</v>
      </c>
      <c r="P84">
        <v>2840</v>
      </c>
      <c r="Q84">
        <v>3944</v>
      </c>
      <c r="R84">
        <v>3216</v>
      </c>
      <c r="S84">
        <v>9059</v>
      </c>
      <c r="T84">
        <v>10183</v>
      </c>
      <c r="AU84" t="str">
        <f t="shared" si="2"/>
        <v/>
      </c>
    </row>
    <row r="85" spans="14:49" x14ac:dyDescent="0.3">
      <c r="N85">
        <v>77</v>
      </c>
      <c r="O85">
        <v>10380</v>
      </c>
      <c r="P85">
        <v>10114</v>
      </c>
      <c r="Q85">
        <v>3019</v>
      </c>
      <c r="R85">
        <v>6833</v>
      </c>
      <c r="S85">
        <v>2122</v>
      </c>
      <c r="T85">
        <v>288</v>
      </c>
      <c r="W85" s="31" t="s">
        <v>0</v>
      </c>
      <c r="X85" s="31" t="s">
        <v>1</v>
      </c>
      <c r="Y85" s="31" t="s">
        <v>2</v>
      </c>
      <c r="Z85" s="84" t="s">
        <v>3</v>
      </c>
      <c r="AA85" s="31" t="s">
        <v>4</v>
      </c>
      <c r="AB85" s="31" t="s">
        <v>5</v>
      </c>
      <c r="AC85" s="31" t="s">
        <v>6</v>
      </c>
      <c r="AD85" s="32" t="s">
        <v>7</v>
      </c>
      <c r="AE85" s="32" t="s">
        <v>8</v>
      </c>
      <c r="AF85" s="32" t="s">
        <v>9</v>
      </c>
      <c r="AG85" s="33" t="s">
        <v>72</v>
      </c>
      <c r="AH85" s="33" t="s">
        <v>73</v>
      </c>
      <c r="AI85" s="33" t="s">
        <v>74</v>
      </c>
      <c r="AJ85" s="85" t="s">
        <v>180</v>
      </c>
      <c r="AK85" s="85" t="s">
        <v>181</v>
      </c>
      <c r="AL85" s="85" t="s">
        <v>182</v>
      </c>
      <c r="AM85" s="33" t="s">
        <v>75</v>
      </c>
      <c r="AN85" s="33" t="s">
        <v>76</v>
      </c>
      <c r="AO85" s="34" t="s">
        <v>11</v>
      </c>
      <c r="AP85" s="34" t="s">
        <v>12</v>
      </c>
      <c r="AQ85" s="34" t="s">
        <v>13</v>
      </c>
      <c r="AR85" s="86" t="s">
        <v>14</v>
      </c>
      <c r="AS85" s="35" t="s">
        <v>148</v>
      </c>
      <c r="AU85" t="str">
        <f t="shared" si="2"/>
        <v/>
      </c>
    </row>
    <row r="86" spans="14:49" x14ac:dyDescent="0.3">
      <c r="N86">
        <v>77</v>
      </c>
      <c r="O86">
        <v>498</v>
      </c>
      <c r="P86">
        <v>1726</v>
      </c>
      <c r="Q86">
        <v>3944</v>
      </c>
      <c r="R86">
        <v>2375</v>
      </c>
      <c r="S86">
        <v>5026</v>
      </c>
      <c r="T86">
        <v>1212</v>
      </c>
      <c r="W86" t="str" cm="1">
        <f t="array" ref="W86:AS90">_xlfn._xlws.FILTER(Tabel1[], Tabel1[Team Number]=J3, "Geen resultaten")</f>
        <v>LeoV</v>
      </c>
      <c r="X86">
        <v>14</v>
      </c>
      <c r="Y86" t="str">
        <v>B1</v>
      </c>
      <c r="Z86">
        <v>7426</v>
      </c>
      <c r="AA86" t="str">
        <v>D</v>
      </c>
      <c r="AB86" t="str">
        <v>false</v>
      </c>
      <c r="AC86" t="str">
        <v>true</v>
      </c>
      <c r="AD86" t="str">
        <v>true</v>
      </c>
      <c r="AE86" t="str">
        <v>true</v>
      </c>
      <c r="AF86">
        <v>0</v>
      </c>
      <c r="AG86" t="str">
        <v>true</v>
      </c>
      <c r="AH86" t="str">
        <v>true</v>
      </c>
      <c r="AI86" t="str">
        <v>false</v>
      </c>
      <c r="AJ86">
        <v>0</v>
      </c>
      <c r="AK86">
        <v>0</v>
      </c>
      <c r="AL86">
        <v>35</v>
      </c>
      <c r="AM86">
        <v>87</v>
      </c>
      <c r="AN86" t="str">
        <v>false</v>
      </c>
      <c r="AO86" t="str">
        <v>NA</v>
      </c>
      <c r="AP86" t="str">
        <v>false</v>
      </c>
      <c r="AQ86" t="str">
        <v>false</v>
      </c>
      <c r="AR86" t="str">
        <v xml:space="preserve">Needs pickup to shoot </v>
      </c>
      <c r="AS86">
        <v>5</v>
      </c>
      <c r="AU86">
        <f t="shared" si="2"/>
        <v>35</v>
      </c>
    </row>
    <row r="87" spans="14:49" x14ac:dyDescent="0.3">
      <c r="N87">
        <v>77</v>
      </c>
      <c r="O87">
        <v>4415</v>
      </c>
      <c r="P87">
        <v>2403</v>
      </c>
      <c r="Q87">
        <v>9704</v>
      </c>
      <c r="R87">
        <v>10256</v>
      </c>
      <c r="S87">
        <v>9432</v>
      </c>
      <c r="T87">
        <v>5199</v>
      </c>
      <c r="W87" t="str">
        <v>AA</v>
      </c>
      <c r="X87">
        <v>26</v>
      </c>
      <c r="Y87" t="str">
        <v>R2</v>
      </c>
      <c r="Z87">
        <v>7426</v>
      </c>
      <c r="AA87" t="str">
        <v>H</v>
      </c>
      <c r="AB87" t="str">
        <v>false</v>
      </c>
      <c r="AC87" t="str">
        <v>true</v>
      </c>
      <c r="AD87" t="str">
        <v>true</v>
      </c>
      <c r="AE87" t="str">
        <v>true</v>
      </c>
      <c r="AF87" t="str">
        <v>L1</v>
      </c>
      <c r="AG87" t="str">
        <v>true</v>
      </c>
      <c r="AH87" t="str">
        <v>false</v>
      </c>
      <c r="AI87" t="str">
        <v>false</v>
      </c>
      <c r="AJ87">
        <v>0</v>
      </c>
      <c r="AK87">
        <v>0</v>
      </c>
      <c r="AL87">
        <v>80</v>
      </c>
      <c r="AM87">
        <v>87</v>
      </c>
      <c r="AN87" t="str">
        <v>false</v>
      </c>
      <c r="AO87">
        <v>1</v>
      </c>
      <c r="AP87" t="str">
        <v>false</v>
      </c>
      <c r="AQ87" t="str">
        <v>false</v>
      </c>
      <c r="AR87" t="str">
        <v>Really good all around, auto does shoot and climbs.</v>
      </c>
      <c r="AS87">
        <v>5</v>
      </c>
      <c r="AU87">
        <f t="shared" si="2"/>
        <v>80</v>
      </c>
    </row>
    <row r="88" spans="14:49" x14ac:dyDescent="0.3">
      <c r="N88">
        <v>77</v>
      </c>
      <c r="O88">
        <v>1726</v>
      </c>
      <c r="P88">
        <v>4146</v>
      </c>
      <c r="Q88">
        <v>2375</v>
      </c>
      <c r="R88">
        <v>6352</v>
      </c>
      <c r="S88">
        <v>1212</v>
      </c>
      <c r="T88">
        <v>1165</v>
      </c>
      <c r="W88" t="str">
        <v>AA</v>
      </c>
      <c r="X88">
        <v>35</v>
      </c>
      <c r="Y88" t="str">
        <v>R2</v>
      </c>
      <c r="Z88">
        <v>7426</v>
      </c>
      <c r="AA88" t="str">
        <v>H</v>
      </c>
      <c r="AB88" t="str">
        <v>false</v>
      </c>
      <c r="AC88" t="str">
        <v>true</v>
      </c>
      <c r="AD88" t="str">
        <v>true</v>
      </c>
      <c r="AE88" t="str">
        <v>true</v>
      </c>
      <c r="AF88" t="str">
        <v>L1</v>
      </c>
      <c r="AG88" t="str">
        <v>true</v>
      </c>
      <c r="AH88" t="str">
        <v>false</v>
      </c>
      <c r="AI88" t="str">
        <v>false</v>
      </c>
      <c r="AJ88">
        <v>8</v>
      </c>
      <c r="AK88">
        <v>24</v>
      </c>
      <c r="AL88">
        <v>145</v>
      </c>
      <c r="AM88">
        <v>93</v>
      </c>
      <c r="AN88" t="str">
        <v>false</v>
      </c>
      <c r="AO88">
        <v>1</v>
      </c>
      <c r="AP88" t="str">
        <v>false</v>
      </c>
      <c r="AQ88" t="str">
        <v>false</v>
      </c>
      <c r="AR88" t="str">
        <v xml:space="preserve">Great all around including support </v>
      </c>
      <c r="AS88">
        <v>5</v>
      </c>
      <c r="AU88">
        <f t="shared" si="2"/>
        <v>177</v>
      </c>
    </row>
    <row r="89" spans="14:49" x14ac:dyDescent="0.3">
      <c r="N89">
        <v>77</v>
      </c>
      <c r="O89">
        <v>2403</v>
      </c>
      <c r="P89">
        <v>6479</v>
      </c>
      <c r="Q89">
        <v>10256</v>
      </c>
      <c r="R89">
        <v>9059</v>
      </c>
      <c r="S89">
        <v>5199</v>
      </c>
      <c r="T89">
        <v>8848</v>
      </c>
      <c r="W89" t="str">
        <v>Yannis</v>
      </c>
      <c r="X89">
        <v>55</v>
      </c>
      <c r="Y89" t="str">
        <v>B1</v>
      </c>
      <c r="Z89">
        <v>7426</v>
      </c>
      <c r="AA89" t="str">
        <v>O</v>
      </c>
      <c r="AB89" t="str">
        <v>false</v>
      </c>
      <c r="AC89" t="str">
        <v>true</v>
      </c>
      <c r="AD89" t="str">
        <v>true</v>
      </c>
      <c r="AE89" t="str">
        <v>true</v>
      </c>
      <c r="AF89" t="str">
        <v>NA</v>
      </c>
      <c r="AG89" t="str">
        <v>true</v>
      </c>
      <c r="AH89" t="str">
        <v>false</v>
      </c>
      <c r="AI89" t="str">
        <v>false</v>
      </c>
      <c r="AJ89">
        <v>1</v>
      </c>
      <c r="AK89">
        <v>3</v>
      </c>
      <c r="AL89">
        <v>120</v>
      </c>
      <c r="AM89">
        <v>85</v>
      </c>
      <c r="AN89" t="str">
        <v>false</v>
      </c>
      <c r="AO89" t="str">
        <v>NA</v>
      </c>
      <c r="AP89" t="str">
        <v>false</v>
      </c>
      <c r="AQ89" t="str">
        <v>false</v>
      </c>
      <c r="AR89">
        <v>0</v>
      </c>
      <c r="AS89">
        <v>5</v>
      </c>
      <c r="AU89">
        <f t="shared" si="2"/>
        <v>124</v>
      </c>
    </row>
    <row r="90" spans="14:49" x14ac:dyDescent="0.3">
      <c r="N90">
        <v>77</v>
      </c>
      <c r="O90">
        <v>498</v>
      </c>
      <c r="P90">
        <v>4415</v>
      </c>
      <c r="Q90">
        <v>3944</v>
      </c>
      <c r="R90">
        <v>9704</v>
      </c>
      <c r="S90">
        <v>5026</v>
      </c>
      <c r="T90">
        <v>9432</v>
      </c>
      <c r="W90" t="str">
        <v>AA</v>
      </c>
      <c r="X90">
        <v>62</v>
      </c>
      <c r="Y90" t="str">
        <v>R2</v>
      </c>
      <c r="Z90">
        <v>7426</v>
      </c>
      <c r="AA90" t="str">
        <v>H</v>
      </c>
      <c r="AB90" t="str">
        <v>false</v>
      </c>
      <c r="AC90" t="str">
        <v>true</v>
      </c>
      <c r="AD90" t="str">
        <v>true</v>
      </c>
      <c r="AE90" t="str">
        <v>true</v>
      </c>
      <c r="AF90" t="str">
        <v>NA</v>
      </c>
      <c r="AG90" t="str">
        <v>true</v>
      </c>
      <c r="AH90" t="str">
        <v>true</v>
      </c>
      <c r="AI90" t="str">
        <v>false</v>
      </c>
      <c r="AJ90">
        <v>0</v>
      </c>
      <c r="AK90">
        <v>0</v>
      </c>
      <c r="AL90">
        <v>60</v>
      </c>
      <c r="AM90">
        <v>89</v>
      </c>
      <c r="AN90" t="str">
        <v>true</v>
      </c>
      <c r="AO90" t="str">
        <v>NA</v>
      </c>
      <c r="AP90" t="str">
        <v>false</v>
      </c>
      <c r="AQ90" t="str">
        <v>false</v>
      </c>
      <c r="AR90" t="str">
        <v xml:space="preserve">Fast with good support and defense, got a foul while interacting with an enemy </v>
      </c>
      <c r="AS90">
        <v>4</v>
      </c>
      <c r="AU90">
        <f t="shared" si="2"/>
        <v>60</v>
      </c>
      <c r="AW90" s="93" t="s">
        <v>188</v>
      </c>
    </row>
    <row r="91" spans="14:49" x14ac:dyDescent="0.3">
      <c r="N91">
        <v>77</v>
      </c>
      <c r="O91">
        <v>2403</v>
      </c>
      <c r="P91">
        <v>4146</v>
      </c>
      <c r="Q91">
        <v>10256</v>
      </c>
      <c r="R91">
        <v>6352</v>
      </c>
      <c r="S91">
        <v>5199</v>
      </c>
      <c r="T91">
        <v>1165</v>
      </c>
      <c r="AU91" t="str">
        <f t="shared" si="2"/>
        <v/>
      </c>
      <c r="AW91" s="93">
        <f>AVERAGE(AU86:AU96)</f>
        <v>95.2</v>
      </c>
    </row>
    <row r="92" spans="14:49" x14ac:dyDescent="0.3">
      <c r="N92">
        <v>77</v>
      </c>
      <c r="O92">
        <v>498</v>
      </c>
      <c r="P92">
        <v>2403</v>
      </c>
      <c r="Q92">
        <v>3944</v>
      </c>
      <c r="R92">
        <v>10256</v>
      </c>
      <c r="S92">
        <v>5026</v>
      </c>
      <c r="T92">
        <v>5199</v>
      </c>
      <c r="AU92" t="str">
        <f t="shared" si="2"/>
        <v/>
      </c>
    </row>
    <row r="93" spans="14:49" x14ac:dyDescent="0.3">
      <c r="N93">
        <v>77</v>
      </c>
      <c r="O93">
        <v>4415</v>
      </c>
      <c r="P93">
        <v>498</v>
      </c>
      <c r="Q93">
        <v>9704</v>
      </c>
      <c r="R93">
        <v>3944</v>
      </c>
      <c r="S93">
        <v>9432</v>
      </c>
      <c r="T93">
        <v>5026</v>
      </c>
      <c r="AU93" t="str">
        <f t="shared" si="2"/>
        <v/>
      </c>
    </row>
    <row r="94" spans="14:49" x14ac:dyDescent="0.3">
      <c r="N94">
        <v>77</v>
      </c>
      <c r="O94">
        <v>4415</v>
      </c>
      <c r="P94">
        <v>498</v>
      </c>
      <c r="Q94">
        <v>9704</v>
      </c>
      <c r="R94">
        <v>3944</v>
      </c>
      <c r="S94">
        <v>9432</v>
      </c>
      <c r="T94">
        <v>5026</v>
      </c>
      <c r="AU94" t="str">
        <f t="shared" si="2"/>
        <v/>
      </c>
    </row>
    <row r="95" spans="14:49" x14ac:dyDescent="0.3">
      <c r="N95">
        <v>77</v>
      </c>
      <c r="O95">
        <v>4415</v>
      </c>
      <c r="P95">
        <v>498</v>
      </c>
      <c r="Q95">
        <v>9704</v>
      </c>
      <c r="R95">
        <v>3944</v>
      </c>
      <c r="S95">
        <v>9432</v>
      </c>
      <c r="T95">
        <v>5026</v>
      </c>
      <c r="AU95" t="str">
        <f t="shared" si="2"/>
        <v/>
      </c>
    </row>
    <row r="96" spans="14:49" x14ac:dyDescent="0.3">
      <c r="O96" t="s">
        <v>694</v>
      </c>
      <c r="AU96" t="str">
        <f t="shared" si="2"/>
        <v/>
      </c>
    </row>
    <row r="97" spans="14:49" x14ac:dyDescent="0.3">
      <c r="N97" t="s">
        <v>695</v>
      </c>
      <c r="O97">
        <v>2122</v>
      </c>
      <c r="P97">
        <v>7426</v>
      </c>
      <c r="Q97">
        <v>2478</v>
      </c>
      <c r="R97">
        <v>991</v>
      </c>
      <c r="S97">
        <v>3019</v>
      </c>
      <c r="T97">
        <v>1212</v>
      </c>
      <c r="V97" s="41" t="s">
        <v>70</v>
      </c>
      <c r="W97" s="17" t="s">
        <v>44</v>
      </c>
      <c r="X97" s="18" t="s">
        <v>45</v>
      </c>
      <c r="Y97" s="18" t="s">
        <v>71</v>
      </c>
      <c r="Z97" s="19" t="s">
        <v>46</v>
      </c>
      <c r="AA97" s="19" t="s">
        <v>47</v>
      </c>
      <c r="AB97" s="19" t="s">
        <v>48</v>
      </c>
      <c r="AC97" s="19" t="s">
        <v>150</v>
      </c>
      <c r="AD97" s="19" t="s">
        <v>49</v>
      </c>
      <c r="AE97" s="19" t="s">
        <v>50</v>
      </c>
      <c r="AF97" s="20" t="s">
        <v>163</v>
      </c>
      <c r="AG97" s="20" t="s">
        <v>51</v>
      </c>
      <c r="AH97" s="20" t="s">
        <v>52</v>
      </c>
      <c r="AI97" s="20" t="s">
        <v>53</v>
      </c>
      <c r="AJ97" s="20" t="s">
        <v>151</v>
      </c>
      <c r="AK97" s="20" t="s">
        <v>55</v>
      </c>
      <c r="AL97" s="20" t="s">
        <v>152</v>
      </c>
      <c r="AM97" s="20" t="s">
        <v>153</v>
      </c>
      <c r="AN97" s="20" t="s">
        <v>154</v>
      </c>
      <c r="AO97" s="20" t="s">
        <v>155</v>
      </c>
      <c r="AP97" s="20" t="s">
        <v>161</v>
      </c>
      <c r="AQ97" s="80" t="s">
        <v>156</v>
      </c>
      <c r="AR97" s="81"/>
      <c r="AU97" t="str">
        <f t="shared" si="2"/>
        <v/>
      </c>
    </row>
    <row r="98" spans="14:49" x14ac:dyDescent="0.3">
      <c r="N98" t="s">
        <v>696</v>
      </c>
      <c r="O98">
        <v>6479</v>
      </c>
      <c r="P98">
        <v>9501</v>
      </c>
      <c r="Q98">
        <v>7333</v>
      </c>
      <c r="R98">
        <v>10114</v>
      </c>
      <c r="S98">
        <v>3243</v>
      </c>
      <c r="T98">
        <v>2403</v>
      </c>
      <c r="W98" t="str" cm="1">
        <f t="array" ref="W98:AO98">_xlfn._xlws.FILTER(Tabel2[], Tabel2[team_number]=K3, "Geen resultaten")</f>
        <v>Maud R</v>
      </c>
      <c r="X98" t="str">
        <v>Westwood robotics</v>
      </c>
      <c r="Y98">
        <v>2478</v>
      </c>
      <c r="Z98">
        <v>100</v>
      </c>
      <c r="AA98">
        <v>22</v>
      </c>
      <c r="AB98">
        <v>27.27</v>
      </c>
      <c r="AC98">
        <v>55</v>
      </c>
      <c r="AD98" t="str">
        <v>Swerve</v>
      </c>
      <c r="AE98" t="str">
        <v>Outpost</v>
      </c>
      <c r="AF98" t="str">
        <v>Middle- shoot preload, Trench- picks up balls and shoots</v>
      </c>
      <c r="AG98" t="str">
        <v>-</v>
      </c>
      <c r="AH98" t="str">
        <v>Ground and human player</v>
      </c>
      <c r="AI98">
        <v>12</v>
      </c>
      <c r="AJ98" t="str">
        <v>false</v>
      </c>
      <c r="AK98" t="str">
        <v>true</v>
      </c>
      <c r="AL98" t="str">
        <v>true</v>
      </c>
      <c r="AM98" t="str">
        <v>true</v>
      </c>
      <c r="AN98" t="str">
        <v>Stationary</v>
      </c>
      <c r="AO98" t="str">
        <v>Double shooter</v>
      </c>
      <c r="AU98" t="str">
        <f t="shared" si="2"/>
        <v/>
      </c>
    </row>
    <row r="99" spans="14:49" x14ac:dyDescent="0.3">
      <c r="N99" t="s">
        <v>697</v>
      </c>
      <c r="O99">
        <v>2486</v>
      </c>
      <c r="P99">
        <v>987</v>
      </c>
      <c r="Q99">
        <v>4731</v>
      </c>
      <c r="R99">
        <v>10183</v>
      </c>
      <c r="S99">
        <v>7425</v>
      </c>
      <c r="T99">
        <v>1165</v>
      </c>
      <c r="AU99" t="str">
        <f t="shared" si="2"/>
        <v/>
      </c>
    </row>
    <row r="100" spans="14:49" x14ac:dyDescent="0.3">
      <c r="N100" t="s">
        <v>698</v>
      </c>
      <c r="O100">
        <v>3245</v>
      </c>
      <c r="P100">
        <v>6413</v>
      </c>
      <c r="Q100">
        <v>1410</v>
      </c>
      <c r="R100">
        <v>10980</v>
      </c>
      <c r="S100">
        <v>3216</v>
      </c>
      <c r="T100">
        <v>10933</v>
      </c>
      <c r="W100" s="31" t="s">
        <v>0</v>
      </c>
      <c r="X100" s="31" t="s">
        <v>1</v>
      </c>
      <c r="Y100" s="31" t="s">
        <v>2</v>
      </c>
      <c r="Z100" s="84" t="s">
        <v>3</v>
      </c>
      <c r="AA100" s="31" t="s">
        <v>4</v>
      </c>
      <c r="AB100" s="31" t="s">
        <v>5</v>
      </c>
      <c r="AC100" s="31" t="s">
        <v>6</v>
      </c>
      <c r="AD100" s="32" t="s">
        <v>7</v>
      </c>
      <c r="AE100" s="32" t="s">
        <v>8</v>
      </c>
      <c r="AF100" s="32" t="s">
        <v>9</v>
      </c>
      <c r="AG100" s="33" t="s">
        <v>72</v>
      </c>
      <c r="AH100" s="33" t="s">
        <v>73</v>
      </c>
      <c r="AI100" s="33" t="s">
        <v>74</v>
      </c>
      <c r="AJ100" s="85" t="s">
        <v>180</v>
      </c>
      <c r="AK100" s="85" t="s">
        <v>181</v>
      </c>
      <c r="AL100" s="85" t="s">
        <v>182</v>
      </c>
      <c r="AM100" s="33" t="s">
        <v>75</v>
      </c>
      <c r="AN100" s="33" t="s">
        <v>76</v>
      </c>
      <c r="AO100" s="34" t="s">
        <v>11</v>
      </c>
      <c r="AP100" s="34" t="s">
        <v>12</v>
      </c>
      <c r="AQ100" s="34" t="s">
        <v>13</v>
      </c>
      <c r="AR100" s="86" t="s">
        <v>14</v>
      </c>
      <c r="AS100" s="35" t="s">
        <v>148</v>
      </c>
      <c r="AU100" t="str">
        <f t="shared" si="2"/>
        <v/>
      </c>
    </row>
    <row r="101" spans="14:49" x14ac:dyDescent="0.3">
      <c r="N101" t="s">
        <v>699</v>
      </c>
      <c r="W101" t="str" cm="1">
        <f t="array" ref="W101:AS105">_xlfn._xlws.FILTER(Tabel1[], Tabel1[Team Number]=K3, "Geen resultaten")</f>
        <v>Jippe</v>
      </c>
      <c r="X101">
        <v>2</v>
      </c>
      <c r="Y101" t="str">
        <v>R2</v>
      </c>
      <c r="Z101">
        <v>2478</v>
      </c>
      <c r="AA101" t="str">
        <v>D</v>
      </c>
      <c r="AB101" t="str">
        <v>false</v>
      </c>
      <c r="AC101" t="str">
        <v>true</v>
      </c>
      <c r="AD101" t="str">
        <v>true</v>
      </c>
      <c r="AE101" t="str">
        <v>false</v>
      </c>
      <c r="AF101" t="str">
        <v>NA</v>
      </c>
      <c r="AG101" t="str">
        <v>true</v>
      </c>
      <c r="AH101" t="str">
        <v>false</v>
      </c>
      <c r="AI101" t="str">
        <v>false</v>
      </c>
      <c r="AJ101">
        <v>0</v>
      </c>
      <c r="AK101">
        <v>0</v>
      </c>
      <c r="AL101">
        <v>0</v>
      </c>
      <c r="AM101">
        <v>100</v>
      </c>
      <c r="AN101" t="str">
        <v>false</v>
      </c>
      <c r="AO101" t="str">
        <v>A</v>
      </c>
      <c r="AP101" t="str">
        <v>true</v>
      </c>
      <c r="AQ101" t="str">
        <v>false</v>
      </c>
      <c r="AR101" t="str">
        <v>Died right after auto</v>
      </c>
      <c r="AS101">
        <v>5</v>
      </c>
      <c r="AU101">
        <f t="shared" si="2"/>
        <v>0</v>
      </c>
    </row>
    <row r="102" spans="14:49" x14ac:dyDescent="0.3">
      <c r="N102" t="s">
        <v>700</v>
      </c>
      <c r="W102" t="str">
        <v>Jippe</v>
      </c>
      <c r="X102">
        <v>39</v>
      </c>
      <c r="Y102" t="str">
        <v>B1</v>
      </c>
      <c r="Z102">
        <v>2478</v>
      </c>
      <c r="AA102" t="str">
        <v>D</v>
      </c>
      <c r="AB102" t="str">
        <v>false</v>
      </c>
      <c r="AC102" t="str">
        <v>true</v>
      </c>
      <c r="AD102" t="str">
        <v>true</v>
      </c>
      <c r="AE102" t="str">
        <v>false</v>
      </c>
      <c r="AF102" t="str">
        <v>No attempt</v>
      </c>
      <c r="AG102" t="str">
        <v>true</v>
      </c>
      <c r="AH102" t="str">
        <v>false</v>
      </c>
      <c r="AI102" t="str">
        <v>false</v>
      </c>
      <c r="AJ102">
        <v>3</v>
      </c>
      <c r="AK102">
        <v>9</v>
      </c>
      <c r="AL102">
        <v>40</v>
      </c>
      <c r="AM102">
        <v>88</v>
      </c>
      <c r="AN102" t="str">
        <v>false</v>
      </c>
      <c r="AO102" t="str">
        <v>NA</v>
      </c>
      <c r="AP102" t="str">
        <v>false</v>
      </c>
      <c r="AQ102" t="str">
        <v>false</v>
      </c>
      <c r="AR102">
        <v>0</v>
      </c>
      <c r="AS102">
        <v>4</v>
      </c>
      <c r="AU102">
        <f t="shared" si="2"/>
        <v>52</v>
      </c>
    </row>
    <row r="103" spans="14:49" x14ac:dyDescent="0.3">
      <c r="N103" t="s">
        <v>701</v>
      </c>
      <c r="W103" t="str">
        <v>Yannis</v>
      </c>
      <c r="X103">
        <v>51</v>
      </c>
      <c r="Y103" t="str">
        <v>B1</v>
      </c>
      <c r="Z103">
        <v>2478</v>
      </c>
      <c r="AA103" t="str">
        <v>D</v>
      </c>
      <c r="AB103" t="str">
        <v>false</v>
      </c>
      <c r="AC103" t="str">
        <v>true</v>
      </c>
      <c r="AD103" t="str">
        <v>true</v>
      </c>
      <c r="AE103" t="str">
        <v>false</v>
      </c>
      <c r="AF103" t="str">
        <v>NA</v>
      </c>
      <c r="AG103" t="str">
        <v>false</v>
      </c>
      <c r="AH103" t="str">
        <v>false</v>
      </c>
      <c r="AI103" t="str">
        <v>false</v>
      </c>
      <c r="AJ103">
        <v>0</v>
      </c>
      <c r="AK103">
        <v>3</v>
      </c>
      <c r="AL103">
        <v>40</v>
      </c>
      <c r="AM103">
        <v>50</v>
      </c>
      <c r="AN103" t="str">
        <v>false</v>
      </c>
      <c r="AO103" t="str">
        <v>NA</v>
      </c>
      <c r="AP103" t="str">
        <v>false</v>
      </c>
      <c r="AQ103" t="str">
        <v>false</v>
      </c>
      <c r="AR103">
        <v>0</v>
      </c>
      <c r="AS103">
        <v>2</v>
      </c>
      <c r="AU103">
        <f t="shared" si="2"/>
        <v>43</v>
      </c>
    </row>
    <row r="104" spans="14:49" x14ac:dyDescent="0.3">
      <c r="N104" t="s">
        <v>702</v>
      </c>
      <c r="W104" t="str">
        <v>BW</v>
      </c>
      <c r="X104">
        <v>62</v>
      </c>
      <c r="Y104" t="str">
        <v>R1</v>
      </c>
      <c r="Z104">
        <v>2478</v>
      </c>
      <c r="AA104" t="str">
        <v>O</v>
      </c>
      <c r="AB104" t="str">
        <v>false</v>
      </c>
      <c r="AC104" t="str">
        <v>true</v>
      </c>
      <c r="AD104" t="str">
        <v>true</v>
      </c>
      <c r="AE104" t="str">
        <v>true</v>
      </c>
      <c r="AF104" t="str">
        <v>NA</v>
      </c>
      <c r="AG104" t="str">
        <v>true</v>
      </c>
      <c r="AH104" t="str">
        <v>false</v>
      </c>
      <c r="AI104" t="str">
        <v>false</v>
      </c>
      <c r="AJ104">
        <v>3</v>
      </c>
      <c r="AK104">
        <v>0</v>
      </c>
      <c r="AL104">
        <v>5</v>
      </c>
      <c r="AM104">
        <v>65</v>
      </c>
      <c r="AN104" t="str">
        <v>false</v>
      </c>
      <c r="AO104" t="str">
        <v>NA</v>
      </c>
      <c r="AP104" t="str">
        <v>true</v>
      </c>
      <c r="AQ104" t="str">
        <v>false</v>
      </c>
      <c r="AR104">
        <v>0</v>
      </c>
      <c r="AS104">
        <v>3</v>
      </c>
      <c r="AU104">
        <f t="shared" si="2"/>
        <v>8</v>
      </c>
    </row>
    <row r="105" spans="14:49" x14ac:dyDescent="0.3">
      <c r="N105" t="s">
        <v>703</v>
      </c>
      <c r="W105" t="str">
        <v>Maud</v>
      </c>
      <c r="X105">
        <v>73</v>
      </c>
      <c r="Y105" t="str">
        <v>B3</v>
      </c>
      <c r="Z105">
        <v>2478</v>
      </c>
      <c r="AA105" t="str">
        <v>D</v>
      </c>
      <c r="AB105" t="str">
        <v>false</v>
      </c>
      <c r="AC105" t="str">
        <v>true</v>
      </c>
      <c r="AD105" t="str">
        <v>true</v>
      </c>
      <c r="AE105" t="str">
        <v>false</v>
      </c>
      <c r="AF105" t="str">
        <v>NA</v>
      </c>
      <c r="AG105" t="str">
        <v>true</v>
      </c>
      <c r="AH105" t="str">
        <v>false</v>
      </c>
      <c r="AI105" t="str">
        <v>false</v>
      </c>
      <c r="AJ105">
        <v>6</v>
      </c>
      <c r="AK105">
        <v>3</v>
      </c>
      <c r="AL105">
        <v>5</v>
      </c>
      <c r="AM105">
        <v>25</v>
      </c>
      <c r="AN105" t="str">
        <v>false</v>
      </c>
      <c r="AO105" t="str">
        <v>NA</v>
      </c>
      <c r="AP105" t="str">
        <v>false</v>
      </c>
      <c r="AQ105" t="str">
        <v>false</v>
      </c>
      <c r="AR105" t="str">
        <v>Dit nothing most of the match</v>
      </c>
      <c r="AS105">
        <v>2</v>
      </c>
      <c r="AU105">
        <f t="shared" si="2"/>
        <v>14</v>
      </c>
    </row>
    <row r="106" spans="14:49" x14ac:dyDescent="0.3">
      <c r="N106" t="s">
        <v>704</v>
      </c>
      <c r="AU106" t="str">
        <f t="shared" si="2"/>
        <v/>
      </c>
      <c r="AW106" s="93" t="s">
        <v>188</v>
      </c>
    </row>
    <row r="107" spans="14:49" x14ac:dyDescent="0.3">
      <c r="N107" t="s">
        <v>705</v>
      </c>
      <c r="AU107" t="str">
        <f t="shared" si="2"/>
        <v/>
      </c>
      <c r="AW107" s="93">
        <f>AVERAGE(AU95:AU110)</f>
        <v>23.4</v>
      </c>
    </row>
    <row r="108" spans="14:49" x14ac:dyDescent="0.3">
      <c r="N108" t="s">
        <v>706</v>
      </c>
      <c r="AU108" t="str">
        <f t="shared" si="2"/>
        <v/>
      </c>
    </row>
    <row r="109" spans="14:49" x14ac:dyDescent="0.3">
      <c r="N109" t="s">
        <v>707</v>
      </c>
      <c r="AU109" t="str">
        <f t="shared" si="2"/>
        <v/>
      </c>
    </row>
    <row r="110" spans="14:49" x14ac:dyDescent="0.3">
      <c r="AU110" t="str">
        <f t="shared" si="2"/>
        <v/>
      </c>
    </row>
    <row r="113" spans="22:49" x14ac:dyDescent="0.3">
      <c r="V113" s="41" t="s">
        <v>710</v>
      </c>
      <c r="W113" s="17" t="s">
        <v>44</v>
      </c>
      <c r="X113" s="18" t="s">
        <v>45</v>
      </c>
      <c r="Y113" s="18" t="s">
        <v>71</v>
      </c>
      <c r="Z113" s="19" t="s">
        <v>46</v>
      </c>
      <c r="AA113" s="19" t="s">
        <v>47</v>
      </c>
      <c r="AB113" s="19" t="s">
        <v>48</v>
      </c>
      <c r="AC113" s="19" t="s">
        <v>150</v>
      </c>
      <c r="AD113" s="19" t="s">
        <v>49</v>
      </c>
      <c r="AE113" s="19" t="s">
        <v>50</v>
      </c>
      <c r="AF113" s="20" t="s">
        <v>163</v>
      </c>
      <c r="AG113" s="20" t="s">
        <v>51</v>
      </c>
      <c r="AH113" s="20" t="s">
        <v>52</v>
      </c>
      <c r="AI113" s="20" t="s">
        <v>53</v>
      </c>
      <c r="AJ113" s="20" t="s">
        <v>151</v>
      </c>
      <c r="AK113" s="20" t="s">
        <v>55</v>
      </c>
      <c r="AL113" s="20" t="s">
        <v>152</v>
      </c>
      <c r="AM113" s="20" t="s">
        <v>153</v>
      </c>
      <c r="AN113" s="20" t="s">
        <v>154</v>
      </c>
      <c r="AO113" s="20" t="s">
        <v>155</v>
      </c>
      <c r="AP113" s="20" t="s">
        <v>161</v>
      </c>
      <c r="AQ113" s="80" t="s">
        <v>156</v>
      </c>
      <c r="AR113" s="81"/>
      <c r="AU113" t="str">
        <f t="shared" ref="AU113:AU123" si="3">IF(COUNT(AJ113:AL113)=0,"",SUM(AJ113:AL113))</f>
        <v/>
      </c>
    </row>
    <row r="114" spans="22:49" x14ac:dyDescent="0.3">
      <c r="W114" cm="1">
        <f t="array" ref="W114:AO114">_xlfn._xlws.FILTER(Tabel2[], Tabel2[team_number]=L3, "Geen resultaten")</f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U114">
        <f t="shared" si="3"/>
        <v>0</v>
      </c>
    </row>
    <row r="115" spans="22:49" x14ac:dyDescent="0.3">
      <c r="AU115" t="str">
        <f t="shared" si="3"/>
        <v/>
      </c>
    </row>
    <row r="116" spans="22:49" x14ac:dyDescent="0.3">
      <c r="W116" s="31" t="s">
        <v>0</v>
      </c>
      <c r="X116" s="31" t="s">
        <v>1</v>
      </c>
      <c r="Y116" s="31" t="s">
        <v>2</v>
      </c>
      <c r="Z116" s="84" t="s">
        <v>3</v>
      </c>
      <c r="AA116" s="31" t="s">
        <v>4</v>
      </c>
      <c r="AB116" s="31" t="s">
        <v>5</v>
      </c>
      <c r="AC116" s="31" t="s">
        <v>6</v>
      </c>
      <c r="AD116" s="32" t="s">
        <v>7</v>
      </c>
      <c r="AE116" s="32" t="s">
        <v>8</v>
      </c>
      <c r="AF116" s="32" t="s">
        <v>9</v>
      </c>
      <c r="AG116" s="33" t="s">
        <v>72</v>
      </c>
      <c r="AH116" s="33" t="s">
        <v>73</v>
      </c>
      <c r="AI116" s="33" t="s">
        <v>74</v>
      </c>
      <c r="AJ116" s="85" t="s">
        <v>180</v>
      </c>
      <c r="AK116" s="85" t="s">
        <v>181</v>
      </c>
      <c r="AL116" s="85" t="s">
        <v>182</v>
      </c>
      <c r="AM116" s="33" t="s">
        <v>75</v>
      </c>
      <c r="AN116" s="33" t="s">
        <v>76</v>
      </c>
      <c r="AO116" s="34" t="s">
        <v>11</v>
      </c>
      <c r="AP116" s="34" t="s">
        <v>12</v>
      </c>
      <c r="AQ116" s="34" t="s">
        <v>13</v>
      </c>
      <c r="AR116" s="86" t="s">
        <v>14</v>
      </c>
      <c r="AS116" s="35" t="s">
        <v>148</v>
      </c>
      <c r="AU116" t="str">
        <f t="shared" si="3"/>
        <v/>
      </c>
    </row>
    <row r="117" spans="22:49" x14ac:dyDescent="0.3">
      <c r="W117" cm="1">
        <f t="array" ref="W117:AS117">_xlfn._xlws.FILTER(Tabel1[], Tabel1[Team Number]=L3, "Geen resultaten")</f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U117">
        <f t="shared" si="3"/>
        <v>0</v>
      </c>
    </row>
    <row r="118" spans="22:49" x14ac:dyDescent="0.3">
      <c r="AU118" t="str">
        <f t="shared" si="3"/>
        <v/>
      </c>
    </row>
    <row r="119" spans="22:49" x14ac:dyDescent="0.3">
      <c r="AU119" t="str">
        <f t="shared" si="3"/>
        <v/>
      </c>
    </row>
    <row r="120" spans="22:49" x14ac:dyDescent="0.3">
      <c r="AU120" t="str">
        <f t="shared" si="3"/>
        <v/>
      </c>
    </row>
    <row r="121" spans="22:49" x14ac:dyDescent="0.3">
      <c r="AU121" t="str">
        <f t="shared" si="3"/>
        <v/>
      </c>
    </row>
    <row r="122" spans="22:49" x14ac:dyDescent="0.3">
      <c r="AU122" t="str">
        <f t="shared" si="3"/>
        <v/>
      </c>
      <c r="AW122" s="93" t="s">
        <v>188</v>
      </c>
    </row>
    <row r="123" spans="22:49" x14ac:dyDescent="0.3">
      <c r="AU123" t="str">
        <f t="shared" si="3"/>
        <v/>
      </c>
      <c r="AW123" s="93">
        <f>AVERAGE(AU111:AU126)</f>
        <v>0</v>
      </c>
    </row>
  </sheetData>
  <phoneticPr fontId="8" type="noConversion"/>
  <conditionalFormatting sqref="C3:F3 I3:L3">
    <cfRule type="cellIs" dxfId="2" priority="46" operator="equal">
      <formula>7333</formula>
    </cfRule>
  </conditionalFormatting>
  <conditionalFormatting sqref="C4:F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F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F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F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F8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F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F1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F1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F1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:J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K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K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K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:K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:K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:K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:L1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:L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:L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T85">
    <cfRule type="cellIs" dxfId="1" priority="1" operator="equal">
      <formula>$N$17</formula>
    </cfRule>
  </conditionalFormatting>
  <conditionalFormatting sqref="O3:T95">
    <cfRule type="cellIs" dxfId="0" priority="2" operator="equal">
      <formula>7333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2D788E-CBC5-48EE-B35F-CCEC67EECD00}">
          <x14:formula1>
            <xm:f>Lijsten!$C$2:$C$78</xm:f>
          </x14:formula1>
          <xm:sqref>A2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E083-8E97-4FE3-A3F3-362C9093036E}">
  <dimension ref="A1:V59"/>
  <sheetViews>
    <sheetView zoomScale="93" zoomScaleNormal="70" workbookViewId="0">
      <selection activeCell="C36" sqref="C36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16.21875" bestFit="1" customWidth="1"/>
    <col min="4" max="5" width="16.44140625" bestFit="1" customWidth="1"/>
    <col min="6" max="6" width="16.6640625" customWidth="1"/>
    <col min="7" max="7" width="16.6640625" bestFit="1" customWidth="1"/>
    <col min="8" max="8" width="9.33203125" bestFit="1" customWidth="1"/>
    <col min="9" max="9" width="10.21875" bestFit="1" customWidth="1"/>
    <col min="10" max="10" width="10.44140625" bestFit="1" customWidth="1"/>
    <col min="11" max="11" width="17.21875" bestFit="1" customWidth="1"/>
    <col min="12" max="15" width="16.6640625" bestFit="1" customWidth="1"/>
    <col min="16" max="17" width="5.33203125" bestFit="1" customWidth="1"/>
    <col min="18" max="18" width="6" customWidth="1"/>
    <col min="19" max="19" width="6.44140625" bestFit="1" customWidth="1"/>
    <col min="20" max="20" width="13.6640625" bestFit="1" customWidth="1"/>
    <col min="21" max="22" width="16.6640625" bestFit="1" customWidth="1"/>
    <col min="23" max="117" width="2" bestFit="1" customWidth="1"/>
  </cols>
  <sheetData>
    <row r="1" spans="1:22" x14ac:dyDescent="0.3">
      <c r="B1" s="174" t="s">
        <v>160</v>
      </c>
      <c r="C1" s="174"/>
      <c r="D1" s="173" t="s">
        <v>176</v>
      </c>
      <c r="E1" s="173"/>
      <c r="F1" s="175" t="s">
        <v>139</v>
      </c>
      <c r="G1" s="175"/>
      <c r="H1" s="176" t="s">
        <v>186</v>
      </c>
      <c r="I1" s="176"/>
      <c r="J1" s="176"/>
      <c r="K1" s="46" t="s">
        <v>140</v>
      </c>
      <c r="L1" s="67"/>
      <c r="M1" s="46"/>
      <c r="N1" s="46"/>
      <c r="O1" s="46"/>
      <c r="P1" s="46"/>
      <c r="Q1" s="89" t="s">
        <v>24</v>
      </c>
      <c r="R1" s="89"/>
      <c r="S1" s="89"/>
      <c r="T1" s="89"/>
      <c r="U1" s="89"/>
      <c r="V1" s="46"/>
    </row>
    <row r="2" spans="1:22" x14ac:dyDescent="0.3">
      <c r="A2" s="48" t="s">
        <v>60</v>
      </c>
      <c r="B2" s="43" t="s">
        <v>71</v>
      </c>
      <c r="C2" s="43" t="s">
        <v>83</v>
      </c>
      <c r="D2" s="44" t="s">
        <v>177</v>
      </c>
      <c r="E2" s="90" t="s">
        <v>185</v>
      </c>
      <c r="F2" s="45" t="s">
        <v>24</v>
      </c>
      <c r="G2" s="45" t="s">
        <v>141</v>
      </c>
      <c r="H2" s="45" t="s">
        <v>18</v>
      </c>
      <c r="I2" s="45" t="s">
        <v>19</v>
      </c>
      <c r="J2" s="45" t="s">
        <v>20</v>
      </c>
      <c r="K2" s="94" t="s">
        <v>187</v>
      </c>
      <c r="L2" s="46" t="s">
        <v>142</v>
      </c>
      <c r="M2" s="46" t="s">
        <v>143</v>
      </c>
      <c r="N2" s="46" t="s">
        <v>144</v>
      </c>
      <c r="O2" s="46" t="s">
        <v>145</v>
      </c>
      <c r="P2" s="46" t="s">
        <v>146</v>
      </c>
      <c r="Q2" s="70" t="s">
        <v>15</v>
      </c>
      <c r="R2" s="70" t="s">
        <v>16</v>
      </c>
      <c r="S2" s="70" t="s">
        <v>17</v>
      </c>
      <c r="T2" s="70" t="s">
        <v>78</v>
      </c>
      <c r="U2" s="70" t="s">
        <v>77</v>
      </c>
      <c r="V2" s="46" t="s">
        <v>147</v>
      </c>
    </row>
    <row r="3" spans="1:22" x14ac:dyDescent="0.3">
      <c r="A3" s="47" t="b">
        <v>1</v>
      </c>
      <c r="B3">
        <v>2122</v>
      </c>
      <c r="C3" s="42" t="s">
        <v>96</v>
      </c>
      <c r="D3" s="2">
        <f t="shared" ref="D3:D34" ca="1" si="0">AVERAGE(INDIRECT("'" &amp; B3 &amp; "'!Q3:Q99"))/100</f>
        <v>0.92599999999999993</v>
      </c>
      <c r="E3" s="148">
        <f t="shared" ref="E3:E34" ca="1" si="1">AVERAGE(INDIRECT("'" &amp; B3 &amp; "'!AB3:AB99"))</f>
        <v>221.4</v>
      </c>
      <c r="F3" s="2" t="e">
        <f t="shared" ref="F3:F34" ca="1" si="2">COUNTIF(INDIRECT("'" &amp; B3 &amp; "'!J3:J99"),1)/COUNT(INDIRECT("'" &amp; B3 &amp; "'!J3:J99"))</f>
        <v>#DIV/0!</v>
      </c>
      <c r="G3" s="2" t="e">
        <f t="shared" ref="G3:G34" ca="1" si="3">COUNTIF(INDIRECT("'" &amp; B3 &amp; "'!I3:I99"),1)/COUNT(INDIRECT("'" &amp; B3 &amp; "'!I3:I99"))</f>
        <v>#DIV/0!</v>
      </c>
      <c r="H3" s="42">
        <f t="shared" ref="H3:H34" ca="1" si="4">COUNTIF(INDIRECT("'" &amp; B3 &amp; "'!E3:E99"), "D")</f>
        <v>1</v>
      </c>
      <c r="I3" s="42">
        <f t="shared" ref="I3:I34" ca="1" si="5">COUNTIF(INDIRECT("'" &amp; B3 &amp; "'!E3:E99"), "H")</f>
        <v>2</v>
      </c>
      <c r="J3" s="42">
        <f t="shared" ref="J3:J34" ca="1" si="6">COUNTIF(INDIRECT("'" &amp; B3 &amp; "'!E3:E99"), "O")</f>
        <v>2</v>
      </c>
      <c r="K3">
        <f t="shared" ref="K3:K34" ca="1" si="7">AVERAGE(INDIRECT("'" &amp; B3 &amp; "'!Y3:Y99"))</f>
        <v>35.70967741935484</v>
      </c>
      <c r="L3">
        <f t="shared" ref="L3:L34" ca="1" si="8">AVERAGE(INDIRECT("'" &amp; B3 &amp; "'!Q3:Q99"))</f>
        <v>92.6</v>
      </c>
      <c r="M3" s="2" t="e">
        <f t="shared" ref="M3:M34" ca="1" si="9">COUNTIF(INDIRECT("'" &amp; B3 &amp; "'!K3:K99"),1)/COUNT(INDIRECT("'" &amp; B3 &amp; "'!K3:K99"))</f>
        <v>#DIV/0!</v>
      </c>
      <c r="N3" s="2" t="e">
        <f t="shared" ref="N3:N34" ca="1" si="10">COUNTIF(INDIRECT("'" &amp; B3 &amp; "'!L3:L99"),1)/COUNT(INDIRECT("'" &amp; B3 &amp; "'!L3:L99"))</f>
        <v>#DIV/0!</v>
      </c>
      <c r="O3" s="2" t="e">
        <f t="shared" ref="O3:O34" ca="1" si="11">COUNTIF(INDIRECT("'" &amp; B3 &amp; "'!M3:M99"),1)/COUNT(INDIRECT("'" &amp; B3 &amp; "'!M3:M99"))</f>
        <v>#DIV/0!</v>
      </c>
      <c r="P3">
        <f t="shared" ref="P3:P34" ca="1" si="12">COUNTIF(INDIRECT("'" &amp; B3 &amp; "'!P3:P99"),1)/COUNT(INDIRECT("'" &amp; B3 &amp; "'!P3:P99"))</f>
        <v>0</v>
      </c>
      <c r="Q3">
        <f t="shared" ref="Q3:Q34" ca="1" si="13">COUNTIF(INDIRECT("'" &amp; B3 &amp; "'!Q3:Q99"), "L1")</f>
        <v>0</v>
      </c>
      <c r="R3">
        <f t="shared" ref="R3:R34" ca="1" si="14">COUNTIF(INDIRECT("'" &amp; B3 &amp; "'!Q3:Q99"), "L2")</f>
        <v>0</v>
      </c>
      <c r="S3">
        <f t="shared" ref="S3:S34" ca="1" si="15">COUNTIF(INDIRECT("'" &amp; B3 &amp; "'!Q3:Q99"), "L3")</f>
        <v>0</v>
      </c>
      <c r="T3">
        <f t="shared" ref="T3:T34" ca="1" si="16">COUNTIF(INDIRECT("'" &amp; B3 &amp; "'!Q3:Q99"), "NA")</f>
        <v>0</v>
      </c>
      <c r="U3">
        <f t="shared" ref="U3:U34" ca="1" si="17">COUNTIF(INDIRECT("'" &amp; B3 &amp; "'!Q3:Q99"), "A")</f>
        <v>0</v>
      </c>
      <c r="V3" s="2" t="e">
        <f t="shared" ref="V3:V34" ca="1" si="18">COUNTIF(INDIRECT("'" &amp; B3 &amp; "'!R3:S99"),1)/COUNT(INDIRECT("'" &amp; B3 &amp; "'!R3:s99"))</f>
        <v>#DIV/0!</v>
      </c>
    </row>
    <row r="4" spans="1:22" ht="28.8" x14ac:dyDescent="0.3">
      <c r="A4" s="47" t="b">
        <v>1</v>
      </c>
      <c r="B4">
        <v>7426</v>
      </c>
      <c r="C4" s="42" t="s">
        <v>118</v>
      </c>
      <c r="D4" s="2">
        <f t="shared" ca="1" si="0"/>
        <v>0.88200000000000001</v>
      </c>
      <c r="E4" s="148">
        <f t="shared" ca="1" si="1"/>
        <v>95.2</v>
      </c>
      <c r="F4" s="2">
        <f t="shared" ca="1" si="2"/>
        <v>0</v>
      </c>
      <c r="G4" s="2" t="e">
        <f t="shared" ca="1" si="3"/>
        <v>#DIV/0!</v>
      </c>
      <c r="H4" s="42">
        <f t="shared" ca="1" si="4"/>
        <v>1</v>
      </c>
      <c r="I4" s="42">
        <f t="shared" ca="1" si="5"/>
        <v>3</v>
      </c>
      <c r="J4" s="42">
        <f t="shared" ca="1" si="6"/>
        <v>1</v>
      </c>
      <c r="K4">
        <f t="shared" ca="1" si="7"/>
        <v>14.875</v>
      </c>
      <c r="L4">
        <f t="shared" ca="1" si="8"/>
        <v>88.2</v>
      </c>
      <c r="M4" s="2" t="e">
        <f t="shared" ca="1" si="9"/>
        <v>#DIV/0!</v>
      </c>
      <c r="N4" s="2" t="e">
        <f t="shared" ca="1" si="10"/>
        <v>#DIV/0!</v>
      </c>
      <c r="O4" s="2" t="e">
        <f t="shared" ca="1" si="11"/>
        <v>#DIV/0!</v>
      </c>
      <c r="P4">
        <f t="shared" ca="1" si="12"/>
        <v>0</v>
      </c>
      <c r="Q4">
        <f t="shared" ca="1" si="13"/>
        <v>0</v>
      </c>
      <c r="R4">
        <f t="shared" ca="1" si="14"/>
        <v>0</v>
      </c>
      <c r="S4">
        <f t="shared" ca="1" si="15"/>
        <v>0</v>
      </c>
      <c r="T4">
        <f t="shared" ca="1" si="16"/>
        <v>0</v>
      </c>
      <c r="U4">
        <f t="shared" ca="1" si="17"/>
        <v>0</v>
      </c>
      <c r="V4" s="2">
        <f t="shared" ca="1" si="18"/>
        <v>1</v>
      </c>
    </row>
    <row r="5" spans="1:22" x14ac:dyDescent="0.3">
      <c r="A5" s="47" t="b">
        <v>1</v>
      </c>
      <c r="B5">
        <v>3216</v>
      </c>
      <c r="C5" s="42" t="s">
        <v>104</v>
      </c>
      <c r="D5" s="2">
        <f t="shared" ca="1" si="0"/>
        <v>0.79333333333333333</v>
      </c>
      <c r="E5" s="148">
        <f t="shared" ca="1" si="1"/>
        <v>89.333333333333329</v>
      </c>
      <c r="F5" s="2" t="e">
        <f t="shared" ca="1" si="2"/>
        <v>#DIV/0!</v>
      </c>
      <c r="G5" s="2" t="e">
        <f t="shared" ca="1" si="3"/>
        <v>#DIV/0!</v>
      </c>
      <c r="H5" s="42">
        <f t="shared" ca="1" si="4"/>
        <v>4</v>
      </c>
      <c r="I5" s="42">
        <f t="shared" ca="1" si="5"/>
        <v>2</v>
      </c>
      <c r="J5" s="42">
        <f t="shared" ca="1" si="6"/>
        <v>0</v>
      </c>
      <c r="K5">
        <f t="shared" ca="1" si="7"/>
        <v>17.29032258064516</v>
      </c>
      <c r="L5">
        <f t="shared" ca="1" si="8"/>
        <v>79.333333333333329</v>
      </c>
      <c r="M5" s="2" t="e">
        <f t="shared" ca="1" si="9"/>
        <v>#DIV/0!</v>
      </c>
      <c r="N5" s="2" t="e">
        <f t="shared" ca="1" si="10"/>
        <v>#DIV/0!</v>
      </c>
      <c r="O5" s="2" t="e">
        <f t="shared" ca="1" si="11"/>
        <v>#DIV/0!</v>
      </c>
      <c r="P5">
        <f t="shared" ca="1" si="12"/>
        <v>0</v>
      </c>
      <c r="Q5">
        <f t="shared" ca="1" si="13"/>
        <v>0</v>
      </c>
      <c r="R5">
        <f t="shared" ca="1" si="14"/>
        <v>0</v>
      </c>
      <c r="S5">
        <f t="shared" ca="1" si="15"/>
        <v>0</v>
      </c>
      <c r="T5">
        <f t="shared" ca="1" si="16"/>
        <v>0</v>
      </c>
      <c r="U5">
        <f t="shared" ca="1" si="17"/>
        <v>0</v>
      </c>
      <c r="V5" s="2" t="e">
        <f t="shared" ca="1" si="18"/>
        <v>#DIV/0!</v>
      </c>
    </row>
    <row r="6" spans="1:22" x14ac:dyDescent="0.3">
      <c r="A6" s="47" t="b">
        <v>0</v>
      </c>
      <c r="B6">
        <v>987</v>
      </c>
      <c r="C6" s="42" t="s">
        <v>88</v>
      </c>
      <c r="D6" s="2">
        <f t="shared" ca="1" si="0"/>
        <v>0.71499999999999997</v>
      </c>
      <c r="E6" s="148">
        <f t="shared" ca="1" si="1"/>
        <v>69.5</v>
      </c>
      <c r="F6" s="2" t="e">
        <f t="shared" ca="1" si="2"/>
        <v>#DIV/0!</v>
      </c>
      <c r="G6" s="2" t="e">
        <f t="shared" ca="1" si="3"/>
        <v>#DIV/0!</v>
      </c>
      <c r="H6" s="42">
        <f t="shared" ca="1" si="4"/>
        <v>0</v>
      </c>
      <c r="I6" s="42">
        <f t="shared" ca="1" si="5"/>
        <v>2</v>
      </c>
      <c r="J6" s="42">
        <f t="shared" ca="1" si="6"/>
        <v>4</v>
      </c>
      <c r="K6">
        <f t="shared" ca="1" si="7"/>
        <v>13.451612903225806</v>
      </c>
      <c r="L6">
        <f t="shared" ca="1" si="8"/>
        <v>71.5</v>
      </c>
      <c r="M6" s="2" t="e">
        <f t="shared" ca="1" si="9"/>
        <v>#DIV/0!</v>
      </c>
      <c r="N6" s="2" t="e">
        <f t="shared" ca="1" si="10"/>
        <v>#DIV/0!</v>
      </c>
      <c r="O6" s="2" t="e">
        <f t="shared" ca="1" si="11"/>
        <v>#DIV/0!</v>
      </c>
      <c r="P6">
        <f t="shared" ca="1" si="12"/>
        <v>0</v>
      </c>
      <c r="Q6">
        <f t="shared" ca="1" si="13"/>
        <v>0</v>
      </c>
      <c r="R6">
        <f t="shared" ca="1" si="14"/>
        <v>0</v>
      </c>
      <c r="S6">
        <f t="shared" ca="1" si="15"/>
        <v>0</v>
      </c>
      <c r="T6">
        <f t="shared" ca="1" si="16"/>
        <v>0</v>
      </c>
      <c r="U6">
        <f t="shared" ca="1" si="17"/>
        <v>0</v>
      </c>
      <c r="V6" s="2">
        <f t="shared" ca="1" si="18"/>
        <v>0</v>
      </c>
    </row>
    <row r="7" spans="1:22" x14ac:dyDescent="0.3">
      <c r="A7" s="47" t="b">
        <v>1</v>
      </c>
      <c r="B7">
        <v>10183</v>
      </c>
      <c r="C7" s="42" t="s">
        <v>129</v>
      </c>
      <c r="D7" s="2">
        <f t="shared" ca="1" si="0"/>
        <v>0.82</v>
      </c>
      <c r="E7" s="148">
        <f t="shared" ca="1" si="1"/>
        <v>66</v>
      </c>
      <c r="F7" s="2" t="e">
        <f t="shared" ca="1" si="2"/>
        <v>#DIV/0!</v>
      </c>
      <c r="G7" s="2" t="e">
        <f t="shared" ca="1" si="3"/>
        <v>#DIV/0!</v>
      </c>
      <c r="H7" s="42">
        <f t="shared" ca="1" si="4"/>
        <v>0</v>
      </c>
      <c r="I7" s="42">
        <f t="shared" ca="1" si="5"/>
        <v>1</v>
      </c>
      <c r="J7" s="42">
        <f t="shared" ca="1" si="6"/>
        <v>4</v>
      </c>
      <c r="K7">
        <f t="shared" ca="1" si="7"/>
        <v>18.333333333333332</v>
      </c>
      <c r="L7">
        <f t="shared" ca="1" si="8"/>
        <v>82</v>
      </c>
      <c r="M7" s="2" t="e">
        <f t="shared" ca="1" si="9"/>
        <v>#DIV/0!</v>
      </c>
      <c r="N7" s="2" t="e">
        <f t="shared" ca="1" si="10"/>
        <v>#DIV/0!</v>
      </c>
      <c r="O7" s="2" t="e">
        <f t="shared" ca="1" si="11"/>
        <v>#DIV/0!</v>
      </c>
      <c r="P7">
        <f t="shared" ca="1" si="12"/>
        <v>0</v>
      </c>
      <c r="Q7">
        <f t="shared" ca="1" si="13"/>
        <v>0</v>
      </c>
      <c r="R7">
        <f t="shared" ca="1" si="14"/>
        <v>0</v>
      </c>
      <c r="S7">
        <f t="shared" ca="1" si="15"/>
        <v>0</v>
      </c>
      <c r="T7">
        <f t="shared" ca="1" si="16"/>
        <v>0</v>
      </c>
      <c r="U7">
        <f t="shared" ca="1" si="17"/>
        <v>0</v>
      </c>
      <c r="V7" s="2" t="e">
        <f t="shared" ca="1" si="18"/>
        <v>#DIV/0!</v>
      </c>
    </row>
    <row r="8" spans="1:22" x14ac:dyDescent="0.3">
      <c r="A8" s="47" t="b">
        <v>1</v>
      </c>
      <c r="B8">
        <v>3245</v>
      </c>
      <c r="C8" s="42" t="s">
        <v>106</v>
      </c>
      <c r="D8" s="2">
        <f t="shared" ca="1" si="0"/>
        <v>0.754</v>
      </c>
      <c r="E8" s="148">
        <f t="shared" ca="1" si="1"/>
        <v>63</v>
      </c>
      <c r="F8" s="2" t="e">
        <f t="shared" ca="1" si="2"/>
        <v>#DIV/0!</v>
      </c>
      <c r="G8" s="2" t="e">
        <f t="shared" ca="1" si="3"/>
        <v>#DIV/0!</v>
      </c>
      <c r="H8" s="42">
        <f t="shared" ca="1" si="4"/>
        <v>2</v>
      </c>
      <c r="I8" s="42">
        <f t="shared" ca="1" si="5"/>
        <v>2</v>
      </c>
      <c r="J8" s="42">
        <f t="shared" ca="1" si="6"/>
        <v>1</v>
      </c>
      <c r="K8">
        <f t="shared" ca="1" si="7"/>
        <v>10.161290322580646</v>
      </c>
      <c r="L8">
        <f t="shared" ca="1" si="8"/>
        <v>75.400000000000006</v>
      </c>
      <c r="M8" s="2" t="e">
        <f t="shared" ca="1" si="9"/>
        <v>#DIV/0!</v>
      </c>
      <c r="N8" s="2" t="e">
        <f t="shared" ca="1" si="10"/>
        <v>#DIV/0!</v>
      </c>
      <c r="O8" s="2" t="e">
        <f t="shared" ca="1" si="11"/>
        <v>#DIV/0!</v>
      </c>
      <c r="P8">
        <f t="shared" ca="1" si="12"/>
        <v>0</v>
      </c>
      <c r="Q8">
        <f t="shared" ca="1" si="13"/>
        <v>0</v>
      </c>
      <c r="R8">
        <f t="shared" ca="1" si="14"/>
        <v>0</v>
      </c>
      <c r="S8">
        <f t="shared" ca="1" si="15"/>
        <v>0</v>
      </c>
      <c r="T8">
        <f t="shared" ca="1" si="16"/>
        <v>0</v>
      </c>
      <c r="U8">
        <f t="shared" ca="1" si="17"/>
        <v>0</v>
      </c>
      <c r="V8" s="2" t="e">
        <f t="shared" ca="1" si="18"/>
        <v>#DIV/0!</v>
      </c>
    </row>
    <row r="9" spans="1:22" ht="28.8" x14ac:dyDescent="0.3">
      <c r="A9" s="47" t="b">
        <v>0</v>
      </c>
      <c r="B9">
        <v>6413</v>
      </c>
      <c r="C9" s="42" t="s">
        <v>113</v>
      </c>
      <c r="D9" s="2">
        <f t="shared" ca="1" si="0"/>
        <v>0.69166666666666676</v>
      </c>
      <c r="E9" s="148">
        <f t="shared" ca="1" si="1"/>
        <v>61.666666666666664</v>
      </c>
      <c r="F9" s="2" t="e">
        <f t="shared" ca="1" si="2"/>
        <v>#DIV/0!</v>
      </c>
      <c r="G9" s="2" t="e">
        <f t="shared" ca="1" si="3"/>
        <v>#DIV/0!</v>
      </c>
      <c r="H9" s="42">
        <f t="shared" ca="1" si="4"/>
        <v>0</v>
      </c>
      <c r="I9" s="42">
        <f t="shared" ca="1" si="5"/>
        <v>6</v>
      </c>
      <c r="J9" s="42">
        <f t="shared" ca="1" si="6"/>
        <v>0</v>
      </c>
      <c r="K9">
        <f t="shared" ca="1" si="7"/>
        <v>11.935483870967742</v>
      </c>
      <c r="L9">
        <f t="shared" ca="1" si="8"/>
        <v>69.166666666666671</v>
      </c>
      <c r="M9" s="2" t="e">
        <f t="shared" ca="1" si="9"/>
        <v>#DIV/0!</v>
      </c>
      <c r="N9" s="2" t="e">
        <f t="shared" ca="1" si="10"/>
        <v>#DIV/0!</v>
      </c>
      <c r="O9" s="2" t="e">
        <f t="shared" ca="1" si="11"/>
        <v>#DIV/0!</v>
      </c>
      <c r="P9">
        <f t="shared" ca="1" si="12"/>
        <v>0</v>
      </c>
      <c r="Q9">
        <f t="shared" ca="1" si="13"/>
        <v>0</v>
      </c>
      <c r="R9">
        <f t="shared" ca="1" si="14"/>
        <v>0</v>
      </c>
      <c r="S9">
        <f t="shared" ca="1" si="15"/>
        <v>0</v>
      </c>
      <c r="T9">
        <f t="shared" ca="1" si="16"/>
        <v>0</v>
      </c>
      <c r="U9">
        <f t="shared" ca="1" si="17"/>
        <v>0</v>
      </c>
      <c r="V9" s="2" t="e">
        <f t="shared" ca="1" si="18"/>
        <v>#DIV/0!</v>
      </c>
    </row>
    <row r="10" spans="1:22" x14ac:dyDescent="0.3">
      <c r="A10" s="47" t="b">
        <v>1</v>
      </c>
      <c r="B10">
        <v>10980</v>
      </c>
      <c r="C10" s="42" t="s">
        <v>134</v>
      </c>
      <c r="D10" s="2">
        <f t="shared" ca="1" si="0"/>
        <v>0.57499999999999996</v>
      </c>
      <c r="E10" s="148">
        <f t="shared" ca="1" si="1"/>
        <v>55.833333333333336</v>
      </c>
      <c r="F10" s="2" t="e">
        <f t="shared" ca="1" si="2"/>
        <v>#DIV/0!</v>
      </c>
      <c r="G10" s="2" t="e">
        <f t="shared" ca="1" si="3"/>
        <v>#DIV/0!</v>
      </c>
      <c r="H10" s="42">
        <f t="shared" ca="1" si="4"/>
        <v>2</v>
      </c>
      <c r="I10" s="42">
        <f t="shared" ca="1" si="5"/>
        <v>2</v>
      </c>
      <c r="J10" s="42">
        <f t="shared" ca="1" si="6"/>
        <v>2</v>
      </c>
      <c r="K10">
        <f t="shared" ca="1" si="7"/>
        <v>18.611111111111111</v>
      </c>
      <c r="L10">
        <f t="shared" ca="1" si="8"/>
        <v>57.5</v>
      </c>
      <c r="M10" s="2" t="e">
        <f t="shared" ca="1" si="9"/>
        <v>#DIV/0!</v>
      </c>
      <c r="N10" s="2" t="e">
        <f t="shared" ca="1" si="10"/>
        <v>#DIV/0!</v>
      </c>
      <c r="O10" s="2" t="e">
        <f t="shared" ca="1" si="11"/>
        <v>#DIV/0!</v>
      </c>
      <c r="P10">
        <f t="shared" ca="1" si="12"/>
        <v>0</v>
      </c>
      <c r="Q10">
        <f t="shared" ca="1" si="13"/>
        <v>0</v>
      </c>
      <c r="R10">
        <f t="shared" ca="1" si="14"/>
        <v>0</v>
      </c>
      <c r="S10">
        <f t="shared" ca="1" si="15"/>
        <v>0</v>
      </c>
      <c r="T10">
        <f t="shared" ca="1" si="16"/>
        <v>0</v>
      </c>
      <c r="U10">
        <f t="shared" ca="1" si="17"/>
        <v>0</v>
      </c>
      <c r="V10" s="2" t="e">
        <f t="shared" ca="1" si="18"/>
        <v>#DIV/0!</v>
      </c>
    </row>
    <row r="11" spans="1:22" x14ac:dyDescent="0.3">
      <c r="A11" s="47" t="b">
        <v>0</v>
      </c>
      <c r="B11">
        <v>7333</v>
      </c>
      <c r="C11" s="42" t="s">
        <v>116</v>
      </c>
      <c r="D11" s="2">
        <f t="shared" ca="1" si="0"/>
        <v>0.67</v>
      </c>
      <c r="E11" s="148">
        <f t="shared" ca="1" si="1"/>
        <v>53.777777777777779</v>
      </c>
      <c r="F11" s="2" t="e">
        <f t="shared" ca="1" si="2"/>
        <v>#DIV/0!</v>
      </c>
      <c r="G11" s="2" t="e">
        <f t="shared" ca="1" si="3"/>
        <v>#DIV/0!</v>
      </c>
      <c r="H11" s="42">
        <f t="shared" ca="1" si="4"/>
        <v>8</v>
      </c>
      <c r="I11" s="42">
        <f t="shared" ca="1" si="5"/>
        <v>0</v>
      </c>
      <c r="J11" s="42">
        <f t="shared" ca="1" si="6"/>
        <v>1</v>
      </c>
      <c r="K11">
        <f t="shared" ca="1" si="7"/>
        <v>15.612903225806452</v>
      </c>
      <c r="L11">
        <f t="shared" ca="1" si="8"/>
        <v>67</v>
      </c>
      <c r="M11" s="2" t="e">
        <f t="shared" ca="1" si="9"/>
        <v>#DIV/0!</v>
      </c>
      <c r="N11" s="2" t="e">
        <f t="shared" ca="1" si="10"/>
        <v>#DIV/0!</v>
      </c>
      <c r="O11" s="2" t="e">
        <f t="shared" ca="1" si="11"/>
        <v>#DIV/0!</v>
      </c>
      <c r="P11">
        <f t="shared" ca="1" si="12"/>
        <v>0</v>
      </c>
      <c r="Q11">
        <f t="shared" ca="1" si="13"/>
        <v>0</v>
      </c>
      <c r="R11">
        <f t="shared" ca="1" si="14"/>
        <v>0</v>
      </c>
      <c r="S11">
        <f t="shared" ca="1" si="15"/>
        <v>0</v>
      </c>
      <c r="T11">
        <f t="shared" ca="1" si="16"/>
        <v>0</v>
      </c>
      <c r="U11">
        <f t="shared" ca="1" si="17"/>
        <v>0</v>
      </c>
      <c r="V11" s="2" t="e">
        <f t="shared" ca="1" si="18"/>
        <v>#DIV/0!</v>
      </c>
    </row>
    <row r="12" spans="1:22" ht="28.8" x14ac:dyDescent="0.3">
      <c r="A12" s="47" t="b">
        <v>0</v>
      </c>
      <c r="B12">
        <v>7425</v>
      </c>
      <c r="C12" s="42" t="s">
        <v>117</v>
      </c>
      <c r="D12" s="2">
        <f t="shared" ca="1" si="0"/>
        <v>0.74428571428571433</v>
      </c>
      <c r="E12" s="148">
        <f t="shared" ca="1" si="1"/>
        <v>57.714285714285715</v>
      </c>
      <c r="F12" s="2">
        <f t="shared" ca="1" si="2"/>
        <v>0</v>
      </c>
      <c r="G12" s="2" t="e">
        <f t="shared" ca="1" si="3"/>
        <v>#DIV/0!</v>
      </c>
      <c r="H12" s="42">
        <f t="shared" ca="1" si="4"/>
        <v>1</v>
      </c>
      <c r="I12" s="42">
        <f t="shared" ca="1" si="5"/>
        <v>4</v>
      </c>
      <c r="J12" s="42">
        <f t="shared" ca="1" si="6"/>
        <v>2</v>
      </c>
      <c r="K12">
        <f t="shared" ca="1" si="7"/>
        <v>13.03225806451613</v>
      </c>
      <c r="L12">
        <f t="shared" ca="1" si="8"/>
        <v>74.428571428571431</v>
      </c>
      <c r="M12" s="2" t="e">
        <f t="shared" ca="1" si="9"/>
        <v>#DIV/0!</v>
      </c>
      <c r="N12" s="2" t="e">
        <f t="shared" ca="1" si="10"/>
        <v>#DIV/0!</v>
      </c>
      <c r="O12" s="2" t="e">
        <f t="shared" ca="1" si="11"/>
        <v>#DIV/0!</v>
      </c>
      <c r="P12">
        <f t="shared" ca="1" si="12"/>
        <v>0</v>
      </c>
      <c r="Q12">
        <f t="shared" ca="1" si="13"/>
        <v>0</v>
      </c>
      <c r="R12">
        <f t="shared" ca="1" si="14"/>
        <v>0</v>
      </c>
      <c r="S12">
        <f t="shared" ca="1" si="15"/>
        <v>0</v>
      </c>
      <c r="T12">
        <f t="shared" ca="1" si="16"/>
        <v>0</v>
      </c>
      <c r="U12">
        <f t="shared" ca="1" si="17"/>
        <v>0</v>
      </c>
      <c r="V12" s="2" t="e">
        <f t="shared" ca="1" si="18"/>
        <v>#DIV/0!</v>
      </c>
    </row>
    <row r="13" spans="1:22" x14ac:dyDescent="0.3">
      <c r="A13" s="47" t="b">
        <v>1</v>
      </c>
      <c r="B13">
        <v>2486</v>
      </c>
      <c r="C13" s="42" t="s">
        <v>99</v>
      </c>
      <c r="D13" s="2">
        <f t="shared" ca="1" si="0"/>
        <v>0.66500000000000004</v>
      </c>
      <c r="E13" s="148">
        <f t="shared" ca="1" si="1"/>
        <v>52.75</v>
      </c>
      <c r="F13" s="2" t="e">
        <f t="shared" ca="1" si="2"/>
        <v>#DIV/0!</v>
      </c>
      <c r="G13" s="2" t="e">
        <f t="shared" ca="1" si="3"/>
        <v>#DIV/0!</v>
      </c>
      <c r="H13" s="42">
        <f t="shared" ca="1" si="4"/>
        <v>3</v>
      </c>
      <c r="I13" s="42">
        <f t="shared" ca="1" si="5"/>
        <v>1</v>
      </c>
      <c r="J13" s="42">
        <f t="shared" ca="1" si="6"/>
        <v>0</v>
      </c>
      <c r="K13">
        <f t="shared" ca="1" si="7"/>
        <v>6.806451612903226</v>
      </c>
      <c r="L13">
        <f t="shared" ca="1" si="8"/>
        <v>66.5</v>
      </c>
      <c r="M13" s="2" t="e">
        <f t="shared" ca="1" si="9"/>
        <v>#DIV/0!</v>
      </c>
      <c r="N13" s="2" t="e">
        <f t="shared" ca="1" si="10"/>
        <v>#DIV/0!</v>
      </c>
      <c r="O13" s="2" t="e">
        <f t="shared" ca="1" si="11"/>
        <v>#DIV/0!</v>
      </c>
      <c r="P13">
        <f t="shared" ca="1" si="12"/>
        <v>0</v>
      </c>
      <c r="Q13">
        <f t="shared" ca="1" si="13"/>
        <v>0</v>
      </c>
      <c r="R13">
        <f t="shared" ca="1" si="14"/>
        <v>0</v>
      </c>
      <c r="S13">
        <f t="shared" ca="1" si="15"/>
        <v>0</v>
      </c>
      <c r="T13">
        <f t="shared" ca="1" si="16"/>
        <v>0</v>
      </c>
      <c r="U13">
        <f t="shared" ca="1" si="17"/>
        <v>0</v>
      </c>
      <c r="V13" s="2" t="e">
        <f t="shared" ca="1" si="18"/>
        <v>#DIV/0!</v>
      </c>
    </row>
    <row r="14" spans="1:22" x14ac:dyDescent="0.3">
      <c r="A14" s="47" t="b">
        <v>1</v>
      </c>
      <c r="B14">
        <v>9501</v>
      </c>
      <c r="C14" s="42" t="s">
        <v>124</v>
      </c>
      <c r="D14" s="2">
        <f t="shared" ca="1" si="0"/>
        <v>0.76571428571428568</v>
      </c>
      <c r="E14" s="148">
        <f t="shared" ca="1" si="1"/>
        <v>47.142857142857146</v>
      </c>
      <c r="F14" s="2">
        <f t="shared" ca="1" si="2"/>
        <v>0</v>
      </c>
      <c r="G14" s="2" t="e">
        <f t="shared" ca="1" si="3"/>
        <v>#DIV/0!</v>
      </c>
      <c r="H14" s="42">
        <f t="shared" ca="1" si="4"/>
        <v>4</v>
      </c>
      <c r="I14" s="42">
        <f t="shared" ca="1" si="5"/>
        <v>1</v>
      </c>
      <c r="J14" s="42">
        <f t="shared" ca="1" si="6"/>
        <v>2</v>
      </c>
      <c r="K14">
        <f t="shared" ca="1" si="7"/>
        <v>10.64516129032258</v>
      </c>
      <c r="L14">
        <f t="shared" ca="1" si="8"/>
        <v>76.571428571428569</v>
      </c>
      <c r="M14" s="2" t="e">
        <f t="shared" ca="1" si="9"/>
        <v>#DIV/0!</v>
      </c>
      <c r="N14" s="2" t="e">
        <f t="shared" ca="1" si="10"/>
        <v>#DIV/0!</v>
      </c>
      <c r="O14" s="2" t="e">
        <f t="shared" ca="1" si="11"/>
        <v>#DIV/0!</v>
      </c>
      <c r="P14">
        <f t="shared" ca="1" si="12"/>
        <v>0</v>
      </c>
      <c r="Q14">
        <f t="shared" ca="1" si="13"/>
        <v>0</v>
      </c>
      <c r="R14">
        <f t="shared" ca="1" si="14"/>
        <v>0</v>
      </c>
      <c r="S14">
        <f t="shared" ca="1" si="15"/>
        <v>0</v>
      </c>
      <c r="T14">
        <f t="shared" ca="1" si="16"/>
        <v>0</v>
      </c>
      <c r="U14">
        <f t="shared" ca="1" si="17"/>
        <v>0</v>
      </c>
      <c r="V14" s="2" t="e">
        <f t="shared" ca="1" si="18"/>
        <v>#DIV/0!</v>
      </c>
    </row>
    <row r="15" spans="1:22" x14ac:dyDescent="0.3">
      <c r="A15" s="47" t="b">
        <v>0</v>
      </c>
      <c r="B15">
        <v>991</v>
      </c>
      <c r="C15" s="42" t="s">
        <v>89</v>
      </c>
      <c r="D15" s="2">
        <f t="shared" ca="1" si="0"/>
        <v>0.78125</v>
      </c>
      <c r="E15" s="148">
        <f t="shared" ca="1" si="1"/>
        <v>46</v>
      </c>
      <c r="F15" s="2" t="e">
        <f t="shared" ca="1" si="2"/>
        <v>#DIV/0!</v>
      </c>
      <c r="G15" s="2" t="e">
        <f t="shared" ca="1" si="3"/>
        <v>#DIV/0!</v>
      </c>
      <c r="H15" s="42">
        <f t="shared" ca="1" si="4"/>
        <v>1</v>
      </c>
      <c r="I15" s="42">
        <f t="shared" ca="1" si="5"/>
        <v>3</v>
      </c>
      <c r="J15" s="42">
        <f t="shared" ca="1" si="6"/>
        <v>4</v>
      </c>
      <c r="K15">
        <f t="shared" ca="1" si="7"/>
        <v>11.870967741935484</v>
      </c>
      <c r="L15">
        <f t="shared" ca="1" si="8"/>
        <v>78.125</v>
      </c>
      <c r="M15" s="2" t="e">
        <f t="shared" ca="1" si="9"/>
        <v>#DIV/0!</v>
      </c>
      <c r="N15" s="2" t="e">
        <f t="shared" ca="1" si="10"/>
        <v>#DIV/0!</v>
      </c>
      <c r="O15" s="2" t="e">
        <f t="shared" ca="1" si="11"/>
        <v>#DIV/0!</v>
      </c>
      <c r="P15">
        <f t="shared" ca="1" si="12"/>
        <v>0</v>
      </c>
      <c r="Q15">
        <f t="shared" ca="1" si="13"/>
        <v>0</v>
      </c>
      <c r="R15">
        <f t="shared" ca="1" si="14"/>
        <v>0</v>
      </c>
      <c r="S15">
        <f t="shared" ca="1" si="15"/>
        <v>0</v>
      </c>
      <c r="T15">
        <f t="shared" ca="1" si="16"/>
        <v>0</v>
      </c>
      <c r="U15">
        <f t="shared" ca="1" si="17"/>
        <v>0</v>
      </c>
      <c r="V15" s="2" t="e">
        <f t="shared" ca="1" si="18"/>
        <v>#DIV/0!</v>
      </c>
    </row>
    <row r="16" spans="1:22" x14ac:dyDescent="0.3">
      <c r="A16" s="47" t="b">
        <v>0</v>
      </c>
      <c r="B16">
        <v>3243</v>
      </c>
      <c r="C16" s="42" t="s">
        <v>105</v>
      </c>
      <c r="D16" s="2">
        <f t="shared" ca="1" si="0"/>
        <v>0.88200000000000001</v>
      </c>
      <c r="E16" s="148">
        <f t="shared" ca="1" si="1"/>
        <v>42.4</v>
      </c>
      <c r="F16" s="2" t="e">
        <f t="shared" ca="1" si="2"/>
        <v>#DIV/0!</v>
      </c>
      <c r="G16" s="2" t="e">
        <f t="shared" ca="1" si="3"/>
        <v>#DIV/0!</v>
      </c>
      <c r="H16" s="42">
        <f t="shared" ca="1" si="4"/>
        <v>2</v>
      </c>
      <c r="I16" s="42">
        <f t="shared" ca="1" si="5"/>
        <v>0</v>
      </c>
      <c r="J16" s="42">
        <f t="shared" ca="1" si="6"/>
        <v>3</v>
      </c>
      <c r="K16">
        <f t="shared" ca="1" si="7"/>
        <v>6.838709677419355</v>
      </c>
      <c r="L16">
        <f t="shared" ca="1" si="8"/>
        <v>88.2</v>
      </c>
      <c r="M16" s="2" t="e">
        <f t="shared" ca="1" si="9"/>
        <v>#DIV/0!</v>
      </c>
      <c r="N16" s="2" t="e">
        <f t="shared" ca="1" si="10"/>
        <v>#DIV/0!</v>
      </c>
      <c r="O16" s="2" t="e">
        <f t="shared" ca="1" si="11"/>
        <v>#DIV/0!</v>
      </c>
      <c r="P16">
        <f t="shared" ca="1" si="12"/>
        <v>0</v>
      </c>
      <c r="Q16">
        <f t="shared" ca="1" si="13"/>
        <v>0</v>
      </c>
      <c r="R16">
        <f t="shared" ca="1" si="14"/>
        <v>0</v>
      </c>
      <c r="S16">
        <f t="shared" ca="1" si="15"/>
        <v>0</v>
      </c>
      <c r="T16">
        <f t="shared" ca="1" si="16"/>
        <v>0</v>
      </c>
      <c r="U16">
        <f t="shared" ca="1" si="17"/>
        <v>0</v>
      </c>
      <c r="V16" s="2" t="e">
        <f t="shared" ca="1" si="18"/>
        <v>#DIV/0!</v>
      </c>
    </row>
    <row r="17" spans="1:22" x14ac:dyDescent="0.3">
      <c r="A17" s="47" t="b">
        <v>0</v>
      </c>
      <c r="B17">
        <v>2403</v>
      </c>
      <c r="C17" s="42" t="s">
        <v>97</v>
      </c>
      <c r="D17" s="2">
        <f t="shared" ca="1" si="0"/>
        <v>0.80400000000000005</v>
      </c>
      <c r="E17" s="148">
        <f t="shared" ca="1" si="1"/>
        <v>45</v>
      </c>
      <c r="F17" s="2" t="e">
        <f t="shared" ca="1" si="2"/>
        <v>#DIV/0!</v>
      </c>
      <c r="G17" s="2" t="e">
        <f t="shared" ca="1" si="3"/>
        <v>#DIV/0!</v>
      </c>
      <c r="H17" s="42">
        <f t="shared" ca="1" si="4"/>
        <v>1</v>
      </c>
      <c r="I17" s="42">
        <f t="shared" ca="1" si="5"/>
        <v>1</v>
      </c>
      <c r="J17" s="42">
        <f t="shared" ca="1" si="6"/>
        <v>3</v>
      </c>
      <c r="K17">
        <f t="shared" ca="1" si="7"/>
        <v>7.258064516129032</v>
      </c>
      <c r="L17">
        <f t="shared" ca="1" si="8"/>
        <v>80.400000000000006</v>
      </c>
      <c r="M17" s="2" t="e">
        <f t="shared" ca="1" si="9"/>
        <v>#DIV/0!</v>
      </c>
      <c r="N17" s="2" t="e">
        <f t="shared" ca="1" si="10"/>
        <v>#DIV/0!</v>
      </c>
      <c r="O17" s="2" t="e">
        <f t="shared" ca="1" si="11"/>
        <v>#DIV/0!</v>
      </c>
      <c r="P17">
        <f t="shared" ca="1" si="12"/>
        <v>0</v>
      </c>
      <c r="Q17">
        <f t="shared" ca="1" si="13"/>
        <v>0</v>
      </c>
      <c r="R17">
        <f t="shared" ca="1" si="14"/>
        <v>0</v>
      </c>
      <c r="S17">
        <f t="shared" ca="1" si="15"/>
        <v>0</v>
      </c>
      <c r="T17">
        <f t="shared" ca="1" si="16"/>
        <v>0</v>
      </c>
      <c r="U17">
        <f t="shared" ca="1" si="17"/>
        <v>0</v>
      </c>
      <c r="V17" s="2" t="e">
        <f t="shared" ca="1" si="18"/>
        <v>#DIV/0!</v>
      </c>
    </row>
    <row r="18" spans="1:22" x14ac:dyDescent="0.3">
      <c r="A18" s="47" t="b">
        <v>0</v>
      </c>
      <c r="B18">
        <v>4731</v>
      </c>
      <c r="C18" s="42" t="s">
        <v>110</v>
      </c>
      <c r="D18" s="2">
        <f t="shared" ca="1" si="0"/>
        <v>0.68</v>
      </c>
      <c r="E18" s="148">
        <f t="shared" ca="1" si="1"/>
        <v>43</v>
      </c>
      <c r="F18" s="2" t="e">
        <f t="shared" ca="1" si="2"/>
        <v>#DIV/0!</v>
      </c>
      <c r="G18" s="2" t="e">
        <f t="shared" ca="1" si="3"/>
        <v>#DIV/0!</v>
      </c>
      <c r="H18" s="42">
        <f t="shared" ca="1" si="4"/>
        <v>1</v>
      </c>
      <c r="I18" s="42">
        <f t="shared" ca="1" si="5"/>
        <v>5</v>
      </c>
      <c r="J18" s="42">
        <f t="shared" ca="1" si="6"/>
        <v>0</v>
      </c>
      <c r="K18">
        <f t="shared" ca="1" si="7"/>
        <v>8.32258064516129</v>
      </c>
      <c r="L18">
        <f t="shared" ca="1" si="8"/>
        <v>68</v>
      </c>
      <c r="M18" s="2" t="e">
        <f t="shared" ca="1" si="9"/>
        <v>#DIV/0!</v>
      </c>
      <c r="N18" s="2" t="e">
        <f t="shared" ca="1" si="10"/>
        <v>#DIV/0!</v>
      </c>
      <c r="O18" s="2" t="e">
        <f t="shared" ca="1" si="11"/>
        <v>#DIV/0!</v>
      </c>
      <c r="P18">
        <f t="shared" ca="1" si="12"/>
        <v>0</v>
      </c>
      <c r="Q18">
        <f t="shared" ca="1" si="13"/>
        <v>0</v>
      </c>
      <c r="R18">
        <f t="shared" ca="1" si="14"/>
        <v>0</v>
      </c>
      <c r="S18">
        <f t="shared" ca="1" si="15"/>
        <v>0</v>
      </c>
      <c r="T18">
        <f t="shared" ca="1" si="16"/>
        <v>0</v>
      </c>
      <c r="U18">
        <f t="shared" ca="1" si="17"/>
        <v>0</v>
      </c>
      <c r="V18" s="2">
        <f t="shared" ca="1" si="18"/>
        <v>1</v>
      </c>
    </row>
    <row r="19" spans="1:22" x14ac:dyDescent="0.3">
      <c r="A19" s="47" t="b">
        <v>1</v>
      </c>
      <c r="B19">
        <v>3019</v>
      </c>
      <c r="C19" s="42" t="s">
        <v>103</v>
      </c>
      <c r="D19" s="2">
        <f t="shared" ca="1" si="0"/>
        <v>0.68200000000000005</v>
      </c>
      <c r="E19" s="148">
        <f t="shared" ca="1" si="1"/>
        <v>37.4</v>
      </c>
      <c r="F19" s="2" t="e">
        <f t="shared" ca="1" si="2"/>
        <v>#DIV/0!</v>
      </c>
      <c r="G19" s="2" t="e">
        <f t="shared" ca="1" si="3"/>
        <v>#DIV/0!</v>
      </c>
      <c r="H19" s="42">
        <f t="shared" ca="1" si="4"/>
        <v>0</v>
      </c>
      <c r="I19" s="42">
        <f t="shared" ca="1" si="5"/>
        <v>4</v>
      </c>
      <c r="J19" s="42">
        <f t="shared" ca="1" si="6"/>
        <v>1</v>
      </c>
      <c r="K19">
        <f t="shared" ca="1" si="7"/>
        <v>6.032258064516129</v>
      </c>
      <c r="L19">
        <f t="shared" ca="1" si="8"/>
        <v>68.2</v>
      </c>
      <c r="M19" s="2" t="e">
        <f t="shared" ca="1" si="9"/>
        <v>#DIV/0!</v>
      </c>
      <c r="N19" s="2" t="e">
        <f t="shared" ca="1" si="10"/>
        <v>#DIV/0!</v>
      </c>
      <c r="O19" s="2" t="e">
        <f t="shared" ca="1" si="11"/>
        <v>#DIV/0!</v>
      </c>
      <c r="P19">
        <f t="shared" ca="1" si="12"/>
        <v>0</v>
      </c>
      <c r="Q19">
        <f t="shared" ca="1" si="13"/>
        <v>0</v>
      </c>
      <c r="R19">
        <f t="shared" ca="1" si="14"/>
        <v>0</v>
      </c>
      <c r="S19">
        <f t="shared" ca="1" si="15"/>
        <v>0</v>
      </c>
      <c r="T19">
        <f t="shared" ca="1" si="16"/>
        <v>0</v>
      </c>
      <c r="U19">
        <f t="shared" ca="1" si="17"/>
        <v>0</v>
      </c>
      <c r="V19" s="2" t="e">
        <f t="shared" ca="1" si="18"/>
        <v>#DIV/0!</v>
      </c>
    </row>
    <row r="20" spans="1:22" x14ac:dyDescent="0.3">
      <c r="A20" s="47" t="b">
        <v>0</v>
      </c>
      <c r="B20">
        <v>11479</v>
      </c>
      <c r="C20" s="42" t="s">
        <v>138</v>
      </c>
      <c r="D20" s="2">
        <f t="shared" ca="1" si="0"/>
        <v>0.73166666666666669</v>
      </c>
      <c r="E20" s="148">
        <f t="shared" ca="1" si="1"/>
        <v>34</v>
      </c>
      <c r="F20" s="2" t="e">
        <f t="shared" ca="1" si="2"/>
        <v>#DIV/0!</v>
      </c>
      <c r="G20" s="2" t="e">
        <f t="shared" ca="1" si="3"/>
        <v>#DIV/0!</v>
      </c>
      <c r="H20" s="42">
        <f t="shared" ca="1" si="4"/>
        <v>1</v>
      </c>
      <c r="I20" s="42">
        <f t="shared" ca="1" si="5"/>
        <v>3</v>
      </c>
      <c r="J20" s="42">
        <f t="shared" ca="1" si="6"/>
        <v>2</v>
      </c>
      <c r="K20">
        <f t="shared" ca="1" si="7"/>
        <v>11.333333333333334</v>
      </c>
      <c r="L20">
        <f t="shared" ca="1" si="8"/>
        <v>73.166666666666671</v>
      </c>
      <c r="M20" s="2" t="e">
        <f t="shared" ca="1" si="9"/>
        <v>#DIV/0!</v>
      </c>
      <c r="N20" s="2" t="e">
        <f t="shared" ca="1" si="10"/>
        <v>#DIV/0!</v>
      </c>
      <c r="O20" s="2" t="e">
        <f t="shared" ca="1" si="11"/>
        <v>#DIV/0!</v>
      </c>
      <c r="P20">
        <f t="shared" ca="1" si="12"/>
        <v>0</v>
      </c>
      <c r="Q20">
        <f t="shared" ca="1" si="13"/>
        <v>0</v>
      </c>
      <c r="R20">
        <f t="shared" ca="1" si="14"/>
        <v>0</v>
      </c>
      <c r="S20">
        <f t="shared" ca="1" si="15"/>
        <v>0</v>
      </c>
      <c r="T20">
        <f t="shared" ca="1" si="16"/>
        <v>0</v>
      </c>
      <c r="U20">
        <f t="shared" ca="1" si="17"/>
        <v>0</v>
      </c>
      <c r="V20" s="2" t="e">
        <f t="shared" ca="1" si="18"/>
        <v>#DIV/0!</v>
      </c>
    </row>
    <row r="21" spans="1:22" x14ac:dyDescent="0.3">
      <c r="A21" s="47" t="b">
        <v>1</v>
      </c>
      <c r="B21">
        <v>10114</v>
      </c>
      <c r="C21" s="42" t="s">
        <v>128</v>
      </c>
      <c r="D21" s="2">
        <f t="shared" ca="1" si="0"/>
        <v>0.70333333333333325</v>
      </c>
      <c r="E21" s="148">
        <f t="shared" ca="1" si="1"/>
        <v>33.5</v>
      </c>
      <c r="F21" s="2" t="e">
        <f t="shared" ca="1" si="2"/>
        <v>#DIV/0!</v>
      </c>
      <c r="G21" s="2" t="e">
        <f t="shared" ca="1" si="3"/>
        <v>#DIV/0!</v>
      </c>
      <c r="H21" s="42">
        <f t="shared" ca="1" si="4"/>
        <v>0</v>
      </c>
      <c r="I21" s="42">
        <f t="shared" ca="1" si="5"/>
        <v>6</v>
      </c>
      <c r="J21" s="42">
        <f t="shared" ca="1" si="6"/>
        <v>0</v>
      </c>
      <c r="K21">
        <f t="shared" ca="1" si="7"/>
        <v>11.166666666666666</v>
      </c>
      <c r="L21">
        <f t="shared" ca="1" si="8"/>
        <v>70.333333333333329</v>
      </c>
      <c r="M21" s="2" t="e">
        <f t="shared" ca="1" si="9"/>
        <v>#DIV/0!</v>
      </c>
      <c r="N21" s="2" t="e">
        <f t="shared" ca="1" si="10"/>
        <v>#DIV/0!</v>
      </c>
      <c r="O21" s="2" t="e">
        <f t="shared" ca="1" si="11"/>
        <v>#DIV/0!</v>
      </c>
      <c r="P21">
        <f t="shared" ca="1" si="12"/>
        <v>0</v>
      </c>
      <c r="Q21">
        <f t="shared" ca="1" si="13"/>
        <v>0</v>
      </c>
      <c r="R21">
        <f t="shared" ca="1" si="14"/>
        <v>0</v>
      </c>
      <c r="S21">
        <f t="shared" ca="1" si="15"/>
        <v>0</v>
      </c>
      <c r="T21">
        <f t="shared" ca="1" si="16"/>
        <v>0</v>
      </c>
      <c r="U21">
        <f t="shared" ca="1" si="17"/>
        <v>0</v>
      </c>
      <c r="V21" s="2" t="e">
        <f t="shared" ca="1" si="18"/>
        <v>#DIV/0!</v>
      </c>
    </row>
    <row r="22" spans="1:22" ht="28.8" x14ac:dyDescent="0.3">
      <c r="A22" s="47" t="b">
        <v>0</v>
      </c>
      <c r="B22">
        <v>10380</v>
      </c>
      <c r="C22" s="42" t="s">
        <v>130</v>
      </c>
      <c r="D22" s="2">
        <f t="shared" ca="1" si="0"/>
        <v>0.73199999999999998</v>
      </c>
      <c r="E22" s="148">
        <f t="shared" ca="1" si="1"/>
        <v>32.4</v>
      </c>
      <c r="F22" s="2" t="e">
        <f t="shared" ca="1" si="2"/>
        <v>#DIV/0!</v>
      </c>
      <c r="G22" s="2" t="e">
        <f t="shared" ca="1" si="3"/>
        <v>#DIV/0!</v>
      </c>
      <c r="H22" s="42">
        <f t="shared" ca="1" si="4"/>
        <v>1</v>
      </c>
      <c r="I22" s="42">
        <f t="shared" ca="1" si="5"/>
        <v>3</v>
      </c>
      <c r="J22" s="42">
        <f t="shared" ca="1" si="6"/>
        <v>1</v>
      </c>
      <c r="K22">
        <f t="shared" ca="1" si="7"/>
        <v>9</v>
      </c>
      <c r="L22">
        <f t="shared" ca="1" si="8"/>
        <v>73.2</v>
      </c>
      <c r="M22" s="2" t="e">
        <f t="shared" ca="1" si="9"/>
        <v>#DIV/0!</v>
      </c>
      <c r="N22" s="2" t="e">
        <f t="shared" ca="1" si="10"/>
        <v>#DIV/0!</v>
      </c>
      <c r="O22" s="2" t="e">
        <f t="shared" ca="1" si="11"/>
        <v>#DIV/0!</v>
      </c>
      <c r="P22">
        <f t="shared" ca="1" si="12"/>
        <v>0</v>
      </c>
      <c r="Q22">
        <f t="shared" ca="1" si="13"/>
        <v>0</v>
      </c>
      <c r="R22">
        <f t="shared" ca="1" si="14"/>
        <v>0</v>
      </c>
      <c r="S22">
        <f t="shared" ca="1" si="15"/>
        <v>0</v>
      </c>
      <c r="T22">
        <f t="shared" ca="1" si="16"/>
        <v>0</v>
      </c>
      <c r="U22">
        <f t="shared" ca="1" si="17"/>
        <v>0</v>
      </c>
      <c r="V22" s="2" t="e">
        <f t="shared" ca="1" si="18"/>
        <v>#DIV/0!</v>
      </c>
    </row>
    <row r="23" spans="1:22" x14ac:dyDescent="0.3">
      <c r="A23" s="47" t="b">
        <v>0</v>
      </c>
      <c r="B23">
        <v>288</v>
      </c>
      <c r="C23" s="42" t="s">
        <v>86</v>
      </c>
      <c r="D23" s="2">
        <f t="shared" ca="1" si="0"/>
        <v>0.68285714285714294</v>
      </c>
      <c r="E23" s="148">
        <f t="shared" ca="1" si="1"/>
        <v>29.285714285714285</v>
      </c>
      <c r="F23" s="2" t="e">
        <f t="shared" ca="1" si="2"/>
        <v>#DIV/0!</v>
      </c>
      <c r="G23" s="2" t="e">
        <f t="shared" ca="1" si="3"/>
        <v>#DIV/0!</v>
      </c>
      <c r="H23" s="42">
        <f t="shared" ca="1" si="4"/>
        <v>2</v>
      </c>
      <c r="I23" s="42">
        <f t="shared" ca="1" si="5"/>
        <v>3</v>
      </c>
      <c r="J23" s="42">
        <f t="shared" ca="1" si="6"/>
        <v>2</v>
      </c>
      <c r="K23">
        <f t="shared" ca="1" si="7"/>
        <v>6.612903225806452</v>
      </c>
      <c r="L23">
        <f t="shared" ca="1" si="8"/>
        <v>68.285714285714292</v>
      </c>
      <c r="M23" s="2" t="e">
        <f t="shared" ca="1" si="9"/>
        <v>#DIV/0!</v>
      </c>
      <c r="N23" s="2" t="e">
        <f t="shared" ca="1" si="10"/>
        <v>#DIV/0!</v>
      </c>
      <c r="O23" s="2" t="e">
        <f t="shared" ca="1" si="11"/>
        <v>#DIV/0!</v>
      </c>
      <c r="P23">
        <f t="shared" ca="1" si="12"/>
        <v>0</v>
      </c>
      <c r="Q23">
        <f t="shared" ca="1" si="13"/>
        <v>0</v>
      </c>
      <c r="R23">
        <f t="shared" ca="1" si="14"/>
        <v>0</v>
      </c>
      <c r="S23">
        <f t="shared" ca="1" si="15"/>
        <v>0</v>
      </c>
      <c r="T23">
        <f t="shared" ca="1" si="16"/>
        <v>0</v>
      </c>
      <c r="U23">
        <f t="shared" ca="1" si="17"/>
        <v>0</v>
      </c>
      <c r="V23" s="2" t="e">
        <f t="shared" ca="1" si="18"/>
        <v>#DIV/0!</v>
      </c>
    </row>
    <row r="24" spans="1:22" x14ac:dyDescent="0.3">
      <c r="A24" s="47" t="b">
        <v>0</v>
      </c>
      <c r="B24">
        <v>6352</v>
      </c>
      <c r="C24" s="42" t="s">
        <v>112</v>
      </c>
      <c r="D24" s="2">
        <f t="shared" ca="1" si="0"/>
        <v>0.60599999999999998</v>
      </c>
      <c r="E24" s="148">
        <f t="shared" ca="1" si="1"/>
        <v>30.2</v>
      </c>
      <c r="F24" s="2" t="e">
        <f t="shared" ca="1" si="2"/>
        <v>#DIV/0!</v>
      </c>
      <c r="G24" s="2" t="e">
        <f t="shared" ca="1" si="3"/>
        <v>#DIV/0!</v>
      </c>
      <c r="H24" s="42">
        <f t="shared" ca="1" si="4"/>
        <v>0</v>
      </c>
      <c r="I24" s="42">
        <f t="shared" ca="1" si="5"/>
        <v>2</v>
      </c>
      <c r="J24" s="42">
        <f t="shared" ca="1" si="6"/>
        <v>3</v>
      </c>
      <c r="K24">
        <f t="shared" ca="1" si="7"/>
        <v>4.870967741935484</v>
      </c>
      <c r="L24">
        <f t="shared" ca="1" si="8"/>
        <v>60.6</v>
      </c>
      <c r="M24" s="2" t="e">
        <f t="shared" ca="1" si="9"/>
        <v>#DIV/0!</v>
      </c>
      <c r="N24" s="2" t="e">
        <f t="shared" ca="1" si="10"/>
        <v>#DIV/0!</v>
      </c>
      <c r="O24" s="2" t="e">
        <f t="shared" ca="1" si="11"/>
        <v>#DIV/0!</v>
      </c>
      <c r="P24">
        <f t="shared" ca="1" si="12"/>
        <v>0</v>
      </c>
      <c r="Q24">
        <f t="shared" ca="1" si="13"/>
        <v>0</v>
      </c>
      <c r="R24">
        <f t="shared" ca="1" si="14"/>
        <v>0</v>
      </c>
      <c r="S24">
        <f t="shared" ca="1" si="15"/>
        <v>0</v>
      </c>
      <c r="T24">
        <f t="shared" ca="1" si="16"/>
        <v>0</v>
      </c>
      <c r="U24">
        <f t="shared" ca="1" si="17"/>
        <v>0</v>
      </c>
      <c r="V24" s="2" t="e">
        <f t="shared" ca="1" si="18"/>
        <v>#DIV/0!</v>
      </c>
    </row>
    <row r="25" spans="1:22" x14ac:dyDescent="0.3">
      <c r="A25" s="47" t="b">
        <v>0</v>
      </c>
      <c r="B25">
        <v>2840</v>
      </c>
      <c r="C25" s="42" t="s">
        <v>101</v>
      </c>
      <c r="D25" s="2">
        <f t="shared" ca="1" si="0"/>
        <v>0.84142857142857141</v>
      </c>
      <c r="E25" s="148">
        <f t="shared" ca="1" si="1"/>
        <v>24</v>
      </c>
      <c r="F25" s="2">
        <f t="shared" ca="1" si="2"/>
        <v>0</v>
      </c>
      <c r="G25" s="2" t="e">
        <f t="shared" ca="1" si="3"/>
        <v>#DIV/0!</v>
      </c>
      <c r="H25" s="42">
        <f t="shared" ca="1" si="4"/>
        <v>4</v>
      </c>
      <c r="I25" s="42">
        <f t="shared" ca="1" si="5"/>
        <v>2</v>
      </c>
      <c r="J25" s="42">
        <f t="shared" ca="1" si="6"/>
        <v>1</v>
      </c>
      <c r="K25">
        <f t="shared" ca="1" si="7"/>
        <v>5.419354838709677</v>
      </c>
      <c r="L25">
        <f t="shared" ca="1" si="8"/>
        <v>84.142857142857139</v>
      </c>
      <c r="M25" s="2" t="e">
        <f t="shared" ca="1" si="9"/>
        <v>#DIV/0!</v>
      </c>
      <c r="N25" s="2" t="e">
        <f t="shared" ca="1" si="10"/>
        <v>#DIV/0!</v>
      </c>
      <c r="O25" s="2" t="e">
        <f t="shared" ca="1" si="11"/>
        <v>#DIV/0!</v>
      </c>
      <c r="P25">
        <f t="shared" ca="1" si="12"/>
        <v>0</v>
      </c>
      <c r="Q25">
        <f t="shared" ca="1" si="13"/>
        <v>0</v>
      </c>
      <c r="R25">
        <f t="shared" ca="1" si="14"/>
        <v>0</v>
      </c>
      <c r="S25">
        <f t="shared" ca="1" si="15"/>
        <v>0</v>
      </c>
      <c r="T25">
        <f t="shared" ca="1" si="16"/>
        <v>0</v>
      </c>
      <c r="U25">
        <f t="shared" ca="1" si="17"/>
        <v>0</v>
      </c>
      <c r="V25" s="2" t="e">
        <f t="shared" ca="1" si="18"/>
        <v>#DIV/0!</v>
      </c>
    </row>
    <row r="26" spans="1:22" x14ac:dyDescent="0.3">
      <c r="A26" s="47" t="b">
        <v>0</v>
      </c>
      <c r="B26">
        <v>7755</v>
      </c>
      <c r="C26" s="42" t="s">
        <v>119</v>
      </c>
      <c r="D26" s="2">
        <f t="shared" ca="1" si="0"/>
        <v>0.88666666666666671</v>
      </c>
      <c r="E26" s="148">
        <f t="shared" ca="1" si="1"/>
        <v>24.666666666666668</v>
      </c>
      <c r="F26" s="2" t="e">
        <f t="shared" ca="1" si="2"/>
        <v>#DIV/0!</v>
      </c>
      <c r="G26" s="2" t="e">
        <f t="shared" ca="1" si="3"/>
        <v>#DIV/0!</v>
      </c>
      <c r="H26" s="42">
        <f t="shared" ca="1" si="4"/>
        <v>1</v>
      </c>
      <c r="I26" s="42">
        <f t="shared" ca="1" si="5"/>
        <v>4</v>
      </c>
      <c r="J26" s="42">
        <f t="shared" ca="1" si="6"/>
        <v>1</v>
      </c>
      <c r="K26">
        <f t="shared" ca="1" si="7"/>
        <v>4.774193548387097</v>
      </c>
      <c r="L26">
        <f t="shared" ca="1" si="8"/>
        <v>88.666666666666671</v>
      </c>
      <c r="M26" s="2" t="e">
        <f t="shared" ca="1" si="9"/>
        <v>#DIV/0!</v>
      </c>
      <c r="N26" s="2" t="e">
        <f t="shared" ca="1" si="10"/>
        <v>#DIV/0!</v>
      </c>
      <c r="O26" s="2" t="e">
        <f t="shared" ca="1" si="11"/>
        <v>#DIV/0!</v>
      </c>
      <c r="P26">
        <f t="shared" ca="1" si="12"/>
        <v>0</v>
      </c>
      <c r="Q26">
        <f t="shared" ca="1" si="13"/>
        <v>0</v>
      </c>
      <c r="R26">
        <f t="shared" ca="1" si="14"/>
        <v>0</v>
      </c>
      <c r="S26">
        <f t="shared" ca="1" si="15"/>
        <v>0</v>
      </c>
      <c r="T26">
        <f t="shared" ca="1" si="16"/>
        <v>0</v>
      </c>
      <c r="U26">
        <f t="shared" ca="1" si="17"/>
        <v>0</v>
      </c>
      <c r="V26" s="2" t="e">
        <f t="shared" ca="1" si="18"/>
        <v>#DIV/0!</v>
      </c>
    </row>
    <row r="27" spans="1:22" ht="57.6" x14ac:dyDescent="0.3">
      <c r="A27" s="47" t="b">
        <v>0</v>
      </c>
      <c r="B27">
        <v>60</v>
      </c>
      <c r="C27" s="42" t="s">
        <v>84</v>
      </c>
      <c r="D27" s="2">
        <f t="shared" ca="1" si="0"/>
        <v>0.41799999999999998</v>
      </c>
      <c r="E27" s="148">
        <f t="shared" ca="1" si="1"/>
        <v>23.6</v>
      </c>
      <c r="F27" s="2" t="e">
        <f t="shared" ca="1" si="2"/>
        <v>#DIV/0!</v>
      </c>
      <c r="G27" s="2" t="e">
        <f t="shared" ca="1" si="3"/>
        <v>#DIV/0!</v>
      </c>
      <c r="H27" s="42">
        <f t="shared" ca="1" si="4"/>
        <v>1</v>
      </c>
      <c r="I27" s="42">
        <f t="shared" ca="1" si="5"/>
        <v>4</v>
      </c>
      <c r="J27" s="42">
        <f t="shared" ca="1" si="6"/>
        <v>0</v>
      </c>
      <c r="K27">
        <f t="shared" ca="1" si="7"/>
        <v>6.5555555555555554</v>
      </c>
      <c r="L27">
        <f t="shared" ca="1" si="8"/>
        <v>41.8</v>
      </c>
      <c r="M27" s="2" t="e">
        <f t="shared" ca="1" si="9"/>
        <v>#DIV/0!</v>
      </c>
      <c r="N27" s="2" t="e">
        <f t="shared" ca="1" si="10"/>
        <v>#DIV/0!</v>
      </c>
      <c r="O27" s="2" t="e">
        <f t="shared" ca="1" si="11"/>
        <v>#DIV/0!</v>
      </c>
      <c r="P27">
        <f t="shared" ca="1" si="12"/>
        <v>0</v>
      </c>
      <c r="Q27">
        <f t="shared" ca="1" si="13"/>
        <v>0</v>
      </c>
      <c r="R27">
        <f t="shared" ca="1" si="14"/>
        <v>0</v>
      </c>
      <c r="S27">
        <f t="shared" ca="1" si="15"/>
        <v>0</v>
      </c>
      <c r="T27">
        <f t="shared" ca="1" si="16"/>
        <v>0</v>
      </c>
      <c r="U27">
        <f t="shared" ca="1" si="17"/>
        <v>0</v>
      </c>
      <c r="V27" s="2" t="e">
        <f t="shared" ca="1" si="18"/>
        <v>#DIV/0!</v>
      </c>
    </row>
    <row r="28" spans="1:22" ht="28.8" x14ac:dyDescent="0.3">
      <c r="A28" s="47" t="b">
        <v>0</v>
      </c>
      <c r="B28">
        <v>2478</v>
      </c>
      <c r="C28" s="42" t="s">
        <v>98</v>
      </c>
      <c r="D28" s="2">
        <f t="shared" ca="1" si="0"/>
        <v>0.65599999999999992</v>
      </c>
      <c r="E28" s="148">
        <f t="shared" ca="1" si="1"/>
        <v>23.4</v>
      </c>
      <c r="F28" s="2" t="e">
        <f t="shared" ca="1" si="2"/>
        <v>#DIV/0!</v>
      </c>
      <c r="G28" s="2" t="e">
        <f t="shared" ca="1" si="3"/>
        <v>#DIV/0!</v>
      </c>
      <c r="H28" s="42">
        <f t="shared" ca="1" si="4"/>
        <v>4</v>
      </c>
      <c r="I28" s="42">
        <f t="shared" ca="1" si="5"/>
        <v>0</v>
      </c>
      <c r="J28" s="42">
        <f t="shared" ca="1" si="6"/>
        <v>1</v>
      </c>
      <c r="K28">
        <f t="shared" ca="1" si="7"/>
        <v>3.774193548387097</v>
      </c>
      <c r="L28">
        <f t="shared" ca="1" si="8"/>
        <v>65.599999999999994</v>
      </c>
      <c r="M28" s="2" t="e">
        <f t="shared" ca="1" si="9"/>
        <v>#DIV/0!</v>
      </c>
      <c r="N28" s="2" t="e">
        <f t="shared" ca="1" si="10"/>
        <v>#DIV/0!</v>
      </c>
      <c r="O28" s="2" t="e">
        <f t="shared" ca="1" si="11"/>
        <v>#DIV/0!</v>
      </c>
      <c r="P28">
        <f t="shared" ca="1" si="12"/>
        <v>0</v>
      </c>
      <c r="Q28">
        <f t="shared" ca="1" si="13"/>
        <v>0</v>
      </c>
      <c r="R28">
        <f t="shared" ca="1" si="14"/>
        <v>0</v>
      </c>
      <c r="S28">
        <f t="shared" ca="1" si="15"/>
        <v>0</v>
      </c>
      <c r="T28">
        <f t="shared" ca="1" si="16"/>
        <v>0</v>
      </c>
      <c r="U28">
        <f t="shared" ca="1" si="17"/>
        <v>0</v>
      </c>
      <c r="V28" s="2" t="e">
        <f t="shared" ca="1" si="18"/>
        <v>#DIV/0!</v>
      </c>
    </row>
    <row r="29" spans="1:22" x14ac:dyDescent="0.3">
      <c r="A29" s="47" t="b">
        <v>0</v>
      </c>
      <c r="B29">
        <v>244</v>
      </c>
      <c r="C29" s="42" t="s">
        <v>85</v>
      </c>
      <c r="D29" s="2">
        <f t="shared" ca="1" si="0"/>
        <v>0.49888888888888888</v>
      </c>
      <c r="E29" s="148">
        <f t="shared" ca="1" si="1"/>
        <v>19.333333333333332</v>
      </c>
      <c r="F29" s="2">
        <f t="shared" ca="1" si="2"/>
        <v>0</v>
      </c>
      <c r="G29" s="2" t="e">
        <f t="shared" ca="1" si="3"/>
        <v>#DIV/0!</v>
      </c>
      <c r="H29" s="42">
        <f t="shared" ca="1" si="4"/>
        <v>3</v>
      </c>
      <c r="I29" s="42">
        <f t="shared" ca="1" si="5"/>
        <v>6</v>
      </c>
      <c r="J29" s="42">
        <f t="shared" ca="1" si="6"/>
        <v>0</v>
      </c>
      <c r="K29">
        <f t="shared" ca="1" si="7"/>
        <v>5.612903225806452</v>
      </c>
      <c r="L29">
        <f t="shared" ca="1" si="8"/>
        <v>49.888888888888886</v>
      </c>
      <c r="M29" s="2" t="e">
        <f t="shared" ca="1" si="9"/>
        <v>#DIV/0!</v>
      </c>
      <c r="N29" s="2" t="e">
        <f t="shared" ca="1" si="10"/>
        <v>#DIV/0!</v>
      </c>
      <c r="O29" s="2" t="e">
        <f t="shared" ca="1" si="11"/>
        <v>#DIV/0!</v>
      </c>
      <c r="P29">
        <f t="shared" ca="1" si="12"/>
        <v>0</v>
      </c>
      <c r="Q29">
        <f t="shared" ca="1" si="13"/>
        <v>0</v>
      </c>
      <c r="R29">
        <f t="shared" ca="1" si="14"/>
        <v>0</v>
      </c>
      <c r="S29">
        <f t="shared" ca="1" si="15"/>
        <v>0</v>
      </c>
      <c r="T29">
        <f t="shared" ca="1" si="16"/>
        <v>0</v>
      </c>
      <c r="U29">
        <f t="shared" ca="1" si="17"/>
        <v>0</v>
      </c>
      <c r="V29" s="2" t="e">
        <f t="shared" ca="1" si="18"/>
        <v>#DIV/0!</v>
      </c>
    </row>
    <row r="30" spans="1:22" x14ac:dyDescent="0.3">
      <c r="A30" s="47" t="b">
        <v>0</v>
      </c>
      <c r="B30">
        <v>3009</v>
      </c>
      <c r="C30" s="42" t="s">
        <v>102</v>
      </c>
      <c r="D30" s="2">
        <f t="shared" ca="1" si="0"/>
        <v>0.53333333333333333</v>
      </c>
      <c r="E30" s="148">
        <f t="shared" ca="1" si="1"/>
        <v>18.5</v>
      </c>
      <c r="F30" s="2">
        <f t="shared" ca="1" si="2"/>
        <v>0</v>
      </c>
      <c r="G30" s="2" t="e">
        <f t="shared" ca="1" si="3"/>
        <v>#DIV/0!</v>
      </c>
      <c r="H30" s="42">
        <f t="shared" ca="1" si="4"/>
        <v>1</v>
      </c>
      <c r="I30" s="42">
        <f t="shared" ca="1" si="5"/>
        <v>5</v>
      </c>
      <c r="J30" s="42">
        <f t="shared" ca="1" si="6"/>
        <v>0</v>
      </c>
      <c r="K30">
        <f t="shared" ca="1" si="7"/>
        <v>3.5806451612903225</v>
      </c>
      <c r="L30">
        <f t="shared" ca="1" si="8"/>
        <v>53.333333333333336</v>
      </c>
      <c r="M30" s="2" t="e">
        <f t="shared" ca="1" si="9"/>
        <v>#DIV/0!</v>
      </c>
      <c r="N30" s="2" t="e">
        <f t="shared" ca="1" si="10"/>
        <v>#DIV/0!</v>
      </c>
      <c r="O30" s="2" t="e">
        <f t="shared" ca="1" si="11"/>
        <v>#DIV/0!</v>
      </c>
      <c r="P30">
        <f t="shared" ca="1" si="12"/>
        <v>0</v>
      </c>
      <c r="Q30">
        <f t="shared" ca="1" si="13"/>
        <v>0</v>
      </c>
      <c r="R30">
        <f t="shared" ca="1" si="14"/>
        <v>0</v>
      </c>
      <c r="S30">
        <f t="shared" ca="1" si="15"/>
        <v>0</v>
      </c>
      <c r="T30">
        <f t="shared" ca="1" si="16"/>
        <v>0</v>
      </c>
      <c r="U30">
        <f t="shared" ca="1" si="17"/>
        <v>0</v>
      </c>
      <c r="V30" s="2" t="e">
        <f t="shared" ca="1" si="18"/>
        <v>#DIV/0!</v>
      </c>
    </row>
    <row r="31" spans="1:22" ht="28.8" x14ac:dyDescent="0.3">
      <c r="A31" s="47" t="b">
        <v>0</v>
      </c>
      <c r="B31">
        <v>5933</v>
      </c>
      <c r="C31" s="42" t="s">
        <v>111</v>
      </c>
      <c r="D31" s="2">
        <f t="shared" ca="1" si="0"/>
        <v>0.55000000000000004</v>
      </c>
      <c r="E31" s="148">
        <f t="shared" ca="1" si="1"/>
        <v>17.2</v>
      </c>
      <c r="F31" s="2">
        <f t="shared" ca="1" si="2"/>
        <v>0</v>
      </c>
      <c r="G31" s="2" t="e">
        <f t="shared" ca="1" si="3"/>
        <v>#DIV/0!</v>
      </c>
      <c r="H31" s="42">
        <f t="shared" ca="1" si="4"/>
        <v>2</v>
      </c>
      <c r="I31" s="42">
        <f t="shared" ca="1" si="5"/>
        <v>3</v>
      </c>
      <c r="J31" s="42">
        <f t="shared" ca="1" si="6"/>
        <v>0</v>
      </c>
      <c r="K31">
        <f t="shared" ca="1" si="7"/>
        <v>2.774193548387097</v>
      </c>
      <c r="L31">
        <f t="shared" ca="1" si="8"/>
        <v>55</v>
      </c>
      <c r="M31" s="2" t="e">
        <f t="shared" ca="1" si="9"/>
        <v>#DIV/0!</v>
      </c>
      <c r="N31" s="2" t="e">
        <f t="shared" ca="1" si="10"/>
        <v>#DIV/0!</v>
      </c>
      <c r="O31" s="2" t="e">
        <f t="shared" ca="1" si="11"/>
        <v>#DIV/0!</v>
      </c>
      <c r="P31">
        <f t="shared" ca="1" si="12"/>
        <v>0</v>
      </c>
      <c r="Q31">
        <f t="shared" ca="1" si="13"/>
        <v>0</v>
      </c>
      <c r="R31">
        <f t="shared" ca="1" si="14"/>
        <v>0</v>
      </c>
      <c r="S31">
        <f t="shared" ca="1" si="15"/>
        <v>0</v>
      </c>
      <c r="T31">
        <f t="shared" ca="1" si="16"/>
        <v>0</v>
      </c>
      <c r="U31">
        <f t="shared" ca="1" si="17"/>
        <v>0</v>
      </c>
      <c r="V31" s="2" t="e">
        <f t="shared" ca="1" si="18"/>
        <v>#DIV/0!</v>
      </c>
    </row>
    <row r="32" spans="1:22" x14ac:dyDescent="0.3">
      <c r="A32" s="47" t="b">
        <v>0</v>
      </c>
      <c r="B32">
        <v>8717</v>
      </c>
      <c r="C32" s="42" t="s">
        <v>121</v>
      </c>
      <c r="D32" s="2">
        <f t="shared" ca="1" si="0"/>
        <v>0.57200000000000006</v>
      </c>
      <c r="E32" s="148">
        <f t="shared" ca="1" si="1"/>
        <v>16.600000000000001</v>
      </c>
      <c r="F32" s="2">
        <f t="shared" ca="1" si="2"/>
        <v>0</v>
      </c>
      <c r="G32" s="2" t="e">
        <f t="shared" ca="1" si="3"/>
        <v>#DIV/0!</v>
      </c>
      <c r="H32" s="42">
        <f t="shared" ca="1" si="4"/>
        <v>1</v>
      </c>
      <c r="I32" s="42">
        <f t="shared" ca="1" si="5"/>
        <v>4</v>
      </c>
      <c r="J32" s="42">
        <f t="shared" ca="1" si="6"/>
        <v>0</v>
      </c>
      <c r="K32">
        <f t="shared" ca="1" si="7"/>
        <v>2.6774193548387095</v>
      </c>
      <c r="L32">
        <f t="shared" ca="1" si="8"/>
        <v>57.2</v>
      </c>
      <c r="M32" s="2" t="e">
        <f t="shared" ca="1" si="9"/>
        <v>#DIV/0!</v>
      </c>
      <c r="N32" s="2" t="e">
        <f t="shared" ca="1" si="10"/>
        <v>#DIV/0!</v>
      </c>
      <c r="O32" s="2" t="e">
        <f t="shared" ca="1" si="11"/>
        <v>#DIV/0!</v>
      </c>
      <c r="P32">
        <f t="shared" ca="1" si="12"/>
        <v>0</v>
      </c>
      <c r="Q32">
        <f t="shared" ca="1" si="13"/>
        <v>0</v>
      </c>
      <c r="R32">
        <f t="shared" ca="1" si="14"/>
        <v>0</v>
      </c>
      <c r="S32">
        <f t="shared" ca="1" si="15"/>
        <v>0</v>
      </c>
      <c r="T32">
        <f t="shared" ca="1" si="16"/>
        <v>0</v>
      </c>
      <c r="U32">
        <f t="shared" ca="1" si="17"/>
        <v>0</v>
      </c>
      <c r="V32" s="2" t="e">
        <f t="shared" ca="1" si="18"/>
        <v>#DIV/0!</v>
      </c>
    </row>
    <row r="33" spans="1:22" x14ac:dyDescent="0.3">
      <c r="A33" s="47" t="b">
        <v>0</v>
      </c>
      <c r="B33">
        <v>1828</v>
      </c>
      <c r="C33" s="42" t="s">
        <v>94</v>
      </c>
      <c r="D33" s="2">
        <f t="shared" ca="1" si="0"/>
        <v>0.71333333333333326</v>
      </c>
      <c r="E33" s="148">
        <f t="shared" ca="1" si="1"/>
        <v>21.333333333333332</v>
      </c>
      <c r="F33" s="2">
        <f t="shared" ca="1" si="2"/>
        <v>0</v>
      </c>
      <c r="G33" s="2" t="e">
        <f t="shared" ca="1" si="3"/>
        <v>#DIV/0!</v>
      </c>
      <c r="H33" s="42">
        <f t="shared" ca="1" si="4"/>
        <v>2</v>
      </c>
      <c r="I33" s="42">
        <f t="shared" ca="1" si="5"/>
        <v>3</v>
      </c>
      <c r="J33" s="42">
        <f t="shared" ca="1" si="6"/>
        <v>1</v>
      </c>
      <c r="K33">
        <f t="shared" ca="1" si="7"/>
        <v>4.129032258064516</v>
      </c>
      <c r="L33">
        <f t="shared" ca="1" si="8"/>
        <v>71.333333333333329</v>
      </c>
      <c r="M33" s="2" t="e">
        <f t="shared" ca="1" si="9"/>
        <v>#DIV/0!</v>
      </c>
      <c r="N33" s="2" t="e">
        <f t="shared" ca="1" si="10"/>
        <v>#DIV/0!</v>
      </c>
      <c r="O33" s="2" t="e">
        <f t="shared" ca="1" si="11"/>
        <v>#DIV/0!</v>
      </c>
      <c r="P33">
        <f t="shared" ca="1" si="12"/>
        <v>0</v>
      </c>
      <c r="Q33">
        <f t="shared" ca="1" si="13"/>
        <v>0</v>
      </c>
      <c r="R33">
        <f t="shared" ca="1" si="14"/>
        <v>0</v>
      </c>
      <c r="S33">
        <f t="shared" ca="1" si="15"/>
        <v>0</v>
      </c>
      <c r="T33">
        <f t="shared" ca="1" si="16"/>
        <v>0</v>
      </c>
      <c r="U33">
        <f t="shared" ca="1" si="17"/>
        <v>0</v>
      </c>
      <c r="V33" s="2" t="e">
        <f t="shared" ca="1" si="18"/>
        <v>#DIV/0!</v>
      </c>
    </row>
    <row r="34" spans="1:22" x14ac:dyDescent="0.3">
      <c r="A34" s="47" t="b">
        <v>0</v>
      </c>
      <c r="B34">
        <v>6479</v>
      </c>
      <c r="C34" s="42" t="s">
        <v>114</v>
      </c>
      <c r="D34" s="2">
        <f t="shared" ca="1" si="0"/>
        <v>0.64333333333333331</v>
      </c>
      <c r="E34" s="148">
        <f t="shared" ca="1" si="1"/>
        <v>15.5</v>
      </c>
      <c r="F34" s="2" t="e">
        <f t="shared" ca="1" si="2"/>
        <v>#DIV/0!</v>
      </c>
      <c r="G34" s="2" t="e">
        <f t="shared" ca="1" si="3"/>
        <v>#DIV/0!</v>
      </c>
      <c r="H34" s="42">
        <f t="shared" ca="1" si="4"/>
        <v>0</v>
      </c>
      <c r="I34" s="42">
        <f t="shared" ca="1" si="5"/>
        <v>5</v>
      </c>
      <c r="J34" s="42">
        <f t="shared" ca="1" si="6"/>
        <v>1</v>
      </c>
      <c r="K34">
        <f t="shared" ca="1" si="7"/>
        <v>3</v>
      </c>
      <c r="L34">
        <f t="shared" ca="1" si="8"/>
        <v>64.333333333333329</v>
      </c>
      <c r="M34" s="2" t="e">
        <f t="shared" ca="1" si="9"/>
        <v>#DIV/0!</v>
      </c>
      <c r="N34" s="2" t="e">
        <f t="shared" ca="1" si="10"/>
        <v>#DIV/0!</v>
      </c>
      <c r="O34" s="2" t="e">
        <f t="shared" ca="1" si="11"/>
        <v>#DIV/0!</v>
      </c>
      <c r="P34">
        <f t="shared" ca="1" si="12"/>
        <v>0</v>
      </c>
      <c r="Q34">
        <f t="shared" ca="1" si="13"/>
        <v>0</v>
      </c>
      <c r="R34">
        <f t="shared" ca="1" si="14"/>
        <v>0</v>
      </c>
      <c r="S34">
        <f t="shared" ca="1" si="15"/>
        <v>0</v>
      </c>
      <c r="T34">
        <f t="shared" ca="1" si="16"/>
        <v>0</v>
      </c>
      <c r="U34">
        <f t="shared" ca="1" si="17"/>
        <v>0</v>
      </c>
      <c r="V34" s="2" t="e">
        <f t="shared" ca="1" si="18"/>
        <v>#DIV/0!</v>
      </c>
    </row>
    <row r="35" spans="1:22" x14ac:dyDescent="0.3">
      <c r="A35" s="47" t="b">
        <v>0</v>
      </c>
      <c r="B35">
        <v>6833</v>
      </c>
      <c r="C35" s="42" t="s">
        <v>115</v>
      </c>
      <c r="D35" s="2">
        <f t="shared" ref="D35:D57" ca="1" si="19">AVERAGE(INDIRECT("'" &amp; B35 &amp; "'!Q3:Q99"))/100</f>
        <v>0.64333333333333331</v>
      </c>
      <c r="E35" s="148">
        <f t="shared" ref="E35:E57" ca="1" si="20">AVERAGE(INDIRECT("'" &amp; B35 &amp; "'!AB3:AB99"))</f>
        <v>15.5</v>
      </c>
      <c r="F35" s="2" t="e">
        <f t="shared" ref="F35:F57" ca="1" si="21">COUNTIF(INDIRECT("'" &amp; B35 &amp; "'!J3:J99"),1)/COUNT(INDIRECT("'" &amp; B35 &amp; "'!J3:J99"))</f>
        <v>#DIV/0!</v>
      </c>
      <c r="G35" s="2" t="e">
        <f t="shared" ref="G35:G57" ca="1" si="22">COUNTIF(INDIRECT("'" &amp; B35 &amp; "'!I3:I99"),1)/COUNT(INDIRECT("'" &amp; B35 &amp; "'!I3:I99"))</f>
        <v>#DIV/0!</v>
      </c>
      <c r="H35" s="42">
        <f t="shared" ref="H35:H57" ca="1" si="23">COUNTIF(INDIRECT("'" &amp; B35 &amp; "'!E3:E99"), "D")</f>
        <v>0</v>
      </c>
      <c r="I35" s="42">
        <f t="shared" ref="I35:I57" ca="1" si="24">COUNTIF(INDIRECT("'" &amp; B35 &amp; "'!E3:E99"), "H")</f>
        <v>5</v>
      </c>
      <c r="J35" s="42">
        <f t="shared" ref="J35:J57" ca="1" si="25">COUNTIF(INDIRECT("'" &amp; B35 &amp; "'!E3:E99"), "O")</f>
        <v>1</v>
      </c>
      <c r="K35">
        <f t="shared" ref="K35:K57" ca="1" si="26">AVERAGE(INDIRECT("'" &amp; B35 &amp; "'!Y3:Y99"))</f>
        <v>3</v>
      </c>
      <c r="L35">
        <f t="shared" ref="L35:L57" ca="1" si="27">AVERAGE(INDIRECT("'" &amp; B35 &amp; "'!Q3:Q99"))</f>
        <v>64.333333333333329</v>
      </c>
      <c r="M35" s="2" t="e">
        <f t="shared" ref="M35:M57" ca="1" si="28">COUNTIF(INDIRECT("'" &amp; B35 &amp; "'!K3:K99"),1)/COUNT(INDIRECT("'" &amp; B35 &amp; "'!K3:K99"))</f>
        <v>#DIV/0!</v>
      </c>
      <c r="N35" s="2" t="e">
        <f t="shared" ref="N35:N57" ca="1" si="29">COUNTIF(INDIRECT("'" &amp; B35 &amp; "'!L3:L99"),1)/COUNT(INDIRECT("'" &amp; B35 &amp; "'!L3:L99"))</f>
        <v>#DIV/0!</v>
      </c>
      <c r="O35" s="2" t="e">
        <f t="shared" ref="O35:O57" ca="1" si="30">COUNTIF(INDIRECT("'" &amp; B35 &amp; "'!M3:M99"),1)/COUNT(INDIRECT("'" &amp; B35 &amp; "'!M3:M99"))</f>
        <v>#DIV/0!</v>
      </c>
      <c r="P35">
        <f t="shared" ref="P35:P57" ca="1" si="31">COUNTIF(INDIRECT("'" &amp; B35 &amp; "'!P3:P99"),1)/COUNT(INDIRECT("'" &amp; B35 &amp; "'!P3:P99"))</f>
        <v>0</v>
      </c>
      <c r="Q35">
        <f t="shared" ref="Q35:Q57" ca="1" si="32">COUNTIF(INDIRECT("'" &amp; B35 &amp; "'!Q3:Q99"), "L1")</f>
        <v>0</v>
      </c>
      <c r="R35">
        <f t="shared" ref="R35:R57" ca="1" si="33">COUNTIF(INDIRECT("'" &amp; B35 &amp; "'!Q3:Q99"), "L2")</f>
        <v>0</v>
      </c>
      <c r="S35">
        <f t="shared" ref="S35:S57" ca="1" si="34">COUNTIF(INDIRECT("'" &amp; B35 &amp; "'!Q3:Q99"), "L3")</f>
        <v>0</v>
      </c>
      <c r="T35">
        <f t="shared" ref="T35:T57" ca="1" si="35">COUNTIF(INDIRECT("'" &amp; B35 &amp; "'!Q3:Q99"), "NA")</f>
        <v>0</v>
      </c>
      <c r="U35">
        <f t="shared" ref="U35:U57" ca="1" si="36">COUNTIF(INDIRECT("'" &amp; B35 &amp; "'!Q3:Q99"), "A")</f>
        <v>0</v>
      </c>
      <c r="V35" s="2" t="e">
        <f t="shared" ref="V35:V57" ca="1" si="37">COUNTIF(INDIRECT("'" &amp; B35 &amp; "'!R3:S99"),1)/COUNT(INDIRECT("'" &amp; B35 &amp; "'!R3:s99"))</f>
        <v>#DIV/0!</v>
      </c>
    </row>
    <row r="36" spans="1:22" ht="28.8" x14ac:dyDescent="0.3">
      <c r="A36" s="47" t="b">
        <v>0</v>
      </c>
      <c r="B36">
        <v>698</v>
      </c>
      <c r="C36" s="42" t="s">
        <v>87</v>
      </c>
      <c r="D36" s="2">
        <f t="shared" ca="1" si="19"/>
        <v>0.86199999999999999</v>
      </c>
      <c r="E36" s="148">
        <f t="shared" ca="1" si="20"/>
        <v>14.4</v>
      </c>
      <c r="F36" s="2">
        <f t="shared" ca="1" si="21"/>
        <v>0</v>
      </c>
      <c r="G36" s="2" t="e">
        <f t="shared" ca="1" si="22"/>
        <v>#DIV/0!</v>
      </c>
      <c r="H36" s="42">
        <f t="shared" ca="1" si="23"/>
        <v>1</v>
      </c>
      <c r="I36" s="42">
        <f t="shared" ca="1" si="24"/>
        <v>4</v>
      </c>
      <c r="J36" s="42">
        <f t="shared" ca="1" si="25"/>
        <v>0</v>
      </c>
      <c r="K36">
        <f t="shared" ca="1" si="26"/>
        <v>2.3225806451612905</v>
      </c>
      <c r="L36">
        <f t="shared" ca="1" si="27"/>
        <v>86.2</v>
      </c>
      <c r="M36" s="2" t="e">
        <f t="shared" ca="1" si="28"/>
        <v>#DIV/0!</v>
      </c>
      <c r="N36" s="2" t="e">
        <f t="shared" ca="1" si="29"/>
        <v>#DIV/0!</v>
      </c>
      <c r="O36" s="2" t="e">
        <f t="shared" ca="1" si="30"/>
        <v>#DIV/0!</v>
      </c>
      <c r="P36">
        <f t="shared" ca="1" si="31"/>
        <v>0</v>
      </c>
      <c r="Q36">
        <f t="shared" ca="1" si="32"/>
        <v>0</v>
      </c>
      <c r="R36">
        <f t="shared" ca="1" si="33"/>
        <v>0</v>
      </c>
      <c r="S36">
        <f t="shared" ca="1" si="34"/>
        <v>0</v>
      </c>
      <c r="T36">
        <f t="shared" ca="1" si="35"/>
        <v>0</v>
      </c>
      <c r="U36">
        <f t="shared" ca="1" si="36"/>
        <v>0</v>
      </c>
      <c r="V36" s="2" t="e">
        <f t="shared" ca="1" si="37"/>
        <v>#DIV/0!</v>
      </c>
    </row>
    <row r="37" spans="1:22" x14ac:dyDescent="0.3">
      <c r="A37" s="47" t="b">
        <v>0</v>
      </c>
      <c r="B37">
        <v>10933</v>
      </c>
      <c r="C37" s="42" t="s">
        <v>133</v>
      </c>
      <c r="D37" s="2">
        <f t="shared" ca="1" si="19"/>
        <v>0.98</v>
      </c>
      <c r="E37" s="148">
        <f t="shared" ca="1" si="20"/>
        <v>11.5</v>
      </c>
      <c r="F37" s="2" t="e">
        <f t="shared" ca="1" si="21"/>
        <v>#DIV/0!</v>
      </c>
      <c r="G37" s="2" t="e">
        <f t="shared" ca="1" si="22"/>
        <v>#DIV/0!</v>
      </c>
      <c r="H37" s="42">
        <f t="shared" ca="1" si="23"/>
        <v>1</v>
      </c>
      <c r="I37" s="42">
        <f t="shared" ca="1" si="24"/>
        <v>3</v>
      </c>
      <c r="J37" s="42">
        <f t="shared" ca="1" si="25"/>
        <v>2</v>
      </c>
      <c r="K37">
        <f t="shared" ca="1" si="26"/>
        <v>3.8333333333333335</v>
      </c>
      <c r="L37">
        <f t="shared" ca="1" si="27"/>
        <v>98</v>
      </c>
      <c r="M37" s="2" t="e">
        <f t="shared" ca="1" si="28"/>
        <v>#DIV/0!</v>
      </c>
      <c r="N37" s="2" t="e">
        <f t="shared" ca="1" si="29"/>
        <v>#DIV/0!</v>
      </c>
      <c r="O37" s="2" t="e">
        <f t="shared" ca="1" si="30"/>
        <v>#DIV/0!</v>
      </c>
      <c r="P37">
        <f t="shared" ca="1" si="31"/>
        <v>0</v>
      </c>
      <c r="Q37">
        <f t="shared" ca="1" si="32"/>
        <v>0</v>
      </c>
      <c r="R37">
        <f t="shared" ca="1" si="33"/>
        <v>0</v>
      </c>
      <c r="S37">
        <f t="shared" ca="1" si="34"/>
        <v>0</v>
      </c>
      <c r="T37">
        <f t="shared" ca="1" si="35"/>
        <v>0</v>
      </c>
      <c r="U37">
        <f t="shared" ca="1" si="36"/>
        <v>0</v>
      </c>
      <c r="V37" s="2" t="e">
        <f t="shared" ca="1" si="37"/>
        <v>#DIV/0!</v>
      </c>
    </row>
    <row r="38" spans="1:22" x14ac:dyDescent="0.3">
      <c r="A38" s="47" t="b">
        <v>0</v>
      </c>
      <c r="B38">
        <v>3424</v>
      </c>
      <c r="C38" s="42" t="s">
        <v>107</v>
      </c>
      <c r="D38" s="2">
        <f t="shared" ca="1" si="19"/>
        <v>0.85</v>
      </c>
      <c r="E38" s="148">
        <f t="shared" ca="1" si="20"/>
        <v>13.333333333333334</v>
      </c>
      <c r="F38" s="2">
        <f t="shared" ca="1" si="21"/>
        <v>0</v>
      </c>
      <c r="G38" s="2" t="e">
        <f t="shared" ca="1" si="22"/>
        <v>#DIV/0!</v>
      </c>
      <c r="H38" s="42">
        <f t="shared" ca="1" si="23"/>
        <v>0</v>
      </c>
      <c r="I38" s="42">
        <f t="shared" ca="1" si="24"/>
        <v>5</v>
      </c>
      <c r="J38" s="42">
        <f t="shared" ca="1" si="25"/>
        <v>1</v>
      </c>
      <c r="K38">
        <f t="shared" ca="1" si="26"/>
        <v>2.5806451612903225</v>
      </c>
      <c r="L38">
        <f t="shared" ca="1" si="27"/>
        <v>85</v>
      </c>
      <c r="M38" s="2" t="e">
        <f t="shared" ca="1" si="28"/>
        <v>#DIV/0!</v>
      </c>
      <c r="N38" s="2" t="e">
        <f t="shared" ca="1" si="29"/>
        <v>#DIV/0!</v>
      </c>
      <c r="O38" s="2" t="e">
        <f t="shared" ca="1" si="30"/>
        <v>#DIV/0!</v>
      </c>
      <c r="P38">
        <f t="shared" ca="1" si="31"/>
        <v>0</v>
      </c>
      <c r="Q38">
        <f t="shared" ca="1" si="32"/>
        <v>0</v>
      </c>
      <c r="R38">
        <f t="shared" ca="1" si="33"/>
        <v>0</v>
      </c>
      <c r="S38">
        <f t="shared" ca="1" si="34"/>
        <v>0</v>
      </c>
      <c r="T38">
        <f t="shared" ca="1" si="35"/>
        <v>0</v>
      </c>
      <c r="U38">
        <f t="shared" ca="1" si="36"/>
        <v>0</v>
      </c>
      <c r="V38" s="2" t="e">
        <f t="shared" ca="1" si="37"/>
        <v>#DIV/0!</v>
      </c>
    </row>
    <row r="39" spans="1:22" x14ac:dyDescent="0.3">
      <c r="A39" s="47" t="b">
        <v>0</v>
      </c>
      <c r="B39">
        <v>11100</v>
      </c>
      <c r="C39" s="42" t="s">
        <v>136</v>
      </c>
      <c r="D39" s="2">
        <f t="shared" ca="1" si="19"/>
        <v>0.48749999999999999</v>
      </c>
      <c r="E39" s="148">
        <f t="shared" ca="1" si="20"/>
        <v>12.75</v>
      </c>
      <c r="F39" s="2" t="e">
        <f t="shared" ca="1" si="21"/>
        <v>#DIV/0!</v>
      </c>
      <c r="G39" s="2" t="e">
        <f t="shared" ca="1" si="22"/>
        <v>#DIV/0!</v>
      </c>
      <c r="H39" s="42">
        <f t="shared" ca="1" si="23"/>
        <v>1</v>
      </c>
      <c r="I39" s="42">
        <f t="shared" ca="1" si="24"/>
        <v>1</v>
      </c>
      <c r="J39" s="42">
        <f t="shared" ca="1" si="25"/>
        <v>2</v>
      </c>
      <c r="K39">
        <f t="shared" ca="1" si="26"/>
        <v>2.8333333333333335</v>
      </c>
      <c r="L39">
        <f t="shared" ca="1" si="27"/>
        <v>48.75</v>
      </c>
      <c r="M39" s="2" t="e">
        <f t="shared" ca="1" si="28"/>
        <v>#DIV/0!</v>
      </c>
      <c r="N39" s="2" t="e">
        <f t="shared" ca="1" si="29"/>
        <v>#DIV/0!</v>
      </c>
      <c r="O39" s="2" t="e">
        <f t="shared" ca="1" si="30"/>
        <v>#DIV/0!</v>
      </c>
      <c r="P39">
        <f t="shared" ca="1" si="31"/>
        <v>0</v>
      </c>
      <c r="Q39">
        <f t="shared" ca="1" si="32"/>
        <v>0</v>
      </c>
      <c r="R39">
        <f t="shared" ca="1" si="33"/>
        <v>0</v>
      </c>
      <c r="S39">
        <f t="shared" ca="1" si="34"/>
        <v>0</v>
      </c>
      <c r="T39">
        <f t="shared" ca="1" si="35"/>
        <v>0</v>
      </c>
      <c r="U39">
        <f t="shared" ca="1" si="36"/>
        <v>0</v>
      </c>
      <c r="V39" s="2" t="e">
        <f t="shared" ca="1" si="37"/>
        <v>#DIV/0!</v>
      </c>
    </row>
    <row r="40" spans="1:22" x14ac:dyDescent="0.3">
      <c r="A40" s="47" t="b">
        <v>0</v>
      </c>
      <c r="B40">
        <v>1212</v>
      </c>
      <c r="C40" s="42" t="s">
        <v>92</v>
      </c>
      <c r="D40" s="2">
        <f t="shared" ca="1" si="19"/>
        <v>0.32</v>
      </c>
      <c r="E40" s="148">
        <f t="shared" ca="1" si="20"/>
        <v>12.666666666666666</v>
      </c>
      <c r="F40" s="2">
        <f t="shared" ca="1" si="21"/>
        <v>0</v>
      </c>
      <c r="G40" s="2" t="e">
        <f t="shared" ca="1" si="22"/>
        <v>#DIV/0!</v>
      </c>
      <c r="H40" s="42">
        <f t="shared" ca="1" si="23"/>
        <v>0</v>
      </c>
      <c r="I40" s="42">
        <f t="shared" ca="1" si="24"/>
        <v>3</v>
      </c>
      <c r="J40" s="42">
        <f t="shared" ca="1" si="25"/>
        <v>0</v>
      </c>
      <c r="K40">
        <f t="shared" ca="1" si="26"/>
        <v>1.2258064516129032</v>
      </c>
      <c r="L40">
        <f t="shared" ca="1" si="27"/>
        <v>32</v>
      </c>
      <c r="M40" s="2" t="e">
        <f t="shared" ca="1" si="28"/>
        <v>#DIV/0!</v>
      </c>
      <c r="N40" s="2" t="e">
        <f t="shared" ca="1" si="29"/>
        <v>#DIV/0!</v>
      </c>
      <c r="O40" s="2" t="e">
        <f t="shared" ca="1" si="30"/>
        <v>#DIV/0!</v>
      </c>
      <c r="P40">
        <f t="shared" ca="1" si="31"/>
        <v>0</v>
      </c>
      <c r="Q40">
        <f t="shared" ca="1" si="32"/>
        <v>0</v>
      </c>
      <c r="R40">
        <f t="shared" ca="1" si="33"/>
        <v>0</v>
      </c>
      <c r="S40">
        <f t="shared" ca="1" si="34"/>
        <v>0</v>
      </c>
      <c r="T40">
        <f t="shared" ca="1" si="35"/>
        <v>0</v>
      </c>
      <c r="U40">
        <f t="shared" ca="1" si="36"/>
        <v>0</v>
      </c>
      <c r="V40" s="2" t="e">
        <f t="shared" ca="1" si="37"/>
        <v>#DIV/0!</v>
      </c>
    </row>
    <row r="41" spans="1:22" x14ac:dyDescent="0.3">
      <c r="A41" s="47" t="b">
        <v>0</v>
      </c>
      <c r="B41">
        <v>11176</v>
      </c>
      <c r="C41" s="42" t="s">
        <v>137</v>
      </c>
      <c r="D41" s="2">
        <f t="shared" ca="1" si="19"/>
        <v>0.48166666666666663</v>
      </c>
      <c r="E41" s="148">
        <f t="shared" ca="1" si="20"/>
        <v>11.333333333333334</v>
      </c>
      <c r="F41" s="2" t="e">
        <f t="shared" ca="1" si="21"/>
        <v>#DIV/0!</v>
      </c>
      <c r="G41" s="2" t="e">
        <f t="shared" ca="1" si="22"/>
        <v>#DIV/0!</v>
      </c>
      <c r="H41" s="42">
        <f t="shared" ca="1" si="23"/>
        <v>1</v>
      </c>
      <c r="I41" s="42">
        <f t="shared" ca="1" si="24"/>
        <v>3</v>
      </c>
      <c r="J41" s="42">
        <f t="shared" ca="1" si="25"/>
        <v>2</v>
      </c>
      <c r="K41">
        <f t="shared" ca="1" si="26"/>
        <v>3.7777777777777777</v>
      </c>
      <c r="L41">
        <f t="shared" ca="1" si="27"/>
        <v>48.166666666666664</v>
      </c>
      <c r="M41" s="2" t="e">
        <f t="shared" ca="1" si="28"/>
        <v>#DIV/0!</v>
      </c>
      <c r="N41" s="2" t="e">
        <f t="shared" ca="1" si="29"/>
        <v>#DIV/0!</v>
      </c>
      <c r="O41" s="2" t="e">
        <f t="shared" ca="1" si="30"/>
        <v>#DIV/0!</v>
      </c>
      <c r="P41">
        <f t="shared" ca="1" si="31"/>
        <v>0</v>
      </c>
      <c r="Q41">
        <f t="shared" ca="1" si="32"/>
        <v>0</v>
      </c>
      <c r="R41">
        <f t="shared" ca="1" si="33"/>
        <v>0</v>
      </c>
      <c r="S41">
        <f t="shared" ca="1" si="34"/>
        <v>0</v>
      </c>
      <c r="T41">
        <f t="shared" ca="1" si="35"/>
        <v>0</v>
      </c>
      <c r="U41">
        <f t="shared" ca="1" si="36"/>
        <v>0</v>
      </c>
      <c r="V41" s="2" t="e">
        <f t="shared" ca="1" si="37"/>
        <v>#DIV/0!</v>
      </c>
    </row>
    <row r="42" spans="1:22" x14ac:dyDescent="0.3">
      <c r="A42" s="47" t="b">
        <v>0</v>
      </c>
      <c r="B42">
        <v>9059</v>
      </c>
      <c r="C42" s="42" t="s">
        <v>122</v>
      </c>
      <c r="D42" s="2">
        <f t="shared" ca="1" si="19"/>
        <v>0.33600000000000002</v>
      </c>
      <c r="E42" s="148">
        <f t="shared" ca="1" si="20"/>
        <v>10.4</v>
      </c>
      <c r="F42" s="2" t="e">
        <f t="shared" ca="1" si="21"/>
        <v>#DIV/0!</v>
      </c>
      <c r="G42" s="2" t="e">
        <f t="shared" ca="1" si="22"/>
        <v>#DIV/0!</v>
      </c>
      <c r="H42" s="42">
        <f t="shared" ca="1" si="23"/>
        <v>4</v>
      </c>
      <c r="I42" s="42">
        <f t="shared" ca="1" si="24"/>
        <v>1</v>
      </c>
      <c r="J42" s="42">
        <f t="shared" ca="1" si="25"/>
        <v>0</v>
      </c>
      <c r="K42">
        <f t="shared" ca="1" si="26"/>
        <v>1.6774193548387097</v>
      </c>
      <c r="L42">
        <f t="shared" ca="1" si="27"/>
        <v>33.6</v>
      </c>
      <c r="M42" s="2" t="e">
        <f t="shared" ca="1" si="28"/>
        <v>#DIV/0!</v>
      </c>
      <c r="N42" s="2" t="e">
        <f t="shared" ca="1" si="29"/>
        <v>#DIV/0!</v>
      </c>
      <c r="O42" s="2" t="e">
        <f t="shared" ca="1" si="30"/>
        <v>#DIV/0!</v>
      </c>
      <c r="P42">
        <f t="shared" ca="1" si="31"/>
        <v>0</v>
      </c>
      <c r="Q42">
        <f t="shared" ca="1" si="32"/>
        <v>0</v>
      </c>
      <c r="R42">
        <f t="shared" ca="1" si="33"/>
        <v>0</v>
      </c>
      <c r="S42">
        <f t="shared" ca="1" si="34"/>
        <v>0</v>
      </c>
      <c r="T42">
        <f t="shared" ca="1" si="35"/>
        <v>0</v>
      </c>
      <c r="U42">
        <f t="shared" ca="1" si="36"/>
        <v>0</v>
      </c>
      <c r="V42" s="2" t="e">
        <f t="shared" ca="1" si="37"/>
        <v>#DIV/0!</v>
      </c>
    </row>
    <row r="43" spans="1:22" ht="28.8" x14ac:dyDescent="0.3">
      <c r="A43" s="47" t="b">
        <v>0</v>
      </c>
      <c r="B43">
        <v>9777</v>
      </c>
      <c r="C43" s="42" t="s">
        <v>127</v>
      </c>
      <c r="D43" s="2">
        <f t="shared" ca="1" si="19"/>
        <v>0.43333333333333335</v>
      </c>
      <c r="E43" s="148">
        <f t="shared" ca="1" si="20"/>
        <v>8.1666666666666661</v>
      </c>
      <c r="F43" s="2" t="e">
        <f t="shared" ca="1" si="21"/>
        <v>#DIV/0!</v>
      </c>
      <c r="G43" s="2" t="e">
        <f t="shared" ca="1" si="22"/>
        <v>#DIV/0!</v>
      </c>
      <c r="H43" s="42">
        <f t="shared" ca="1" si="23"/>
        <v>0</v>
      </c>
      <c r="I43" s="42">
        <f t="shared" ca="1" si="24"/>
        <v>5</v>
      </c>
      <c r="J43" s="42">
        <f t="shared" ca="1" si="25"/>
        <v>1</v>
      </c>
      <c r="K43">
        <f t="shared" ca="1" si="26"/>
        <v>2.7222222222222223</v>
      </c>
      <c r="L43">
        <f t="shared" ca="1" si="27"/>
        <v>43.333333333333336</v>
      </c>
      <c r="M43" s="2" t="e">
        <f t="shared" ca="1" si="28"/>
        <v>#DIV/0!</v>
      </c>
      <c r="N43" s="2" t="e">
        <f t="shared" ca="1" si="29"/>
        <v>#DIV/0!</v>
      </c>
      <c r="O43" s="2" t="e">
        <f t="shared" ca="1" si="30"/>
        <v>#DIV/0!</v>
      </c>
      <c r="P43">
        <f t="shared" ca="1" si="31"/>
        <v>0</v>
      </c>
      <c r="Q43">
        <f t="shared" ca="1" si="32"/>
        <v>0</v>
      </c>
      <c r="R43">
        <f t="shared" ca="1" si="33"/>
        <v>0</v>
      </c>
      <c r="S43">
        <f t="shared" ca="1" si="34"/>
        <v>0</v>
      </c>
      <c r="T43">
        <f t="shared" ca="1" si="35"/>
        <v>0</v>
      </c>
      <c r="U43">
        <f t="shared" ca="1" si="36"/>
        <v>0</v>
      </c>
      <c r="V43" s="2" t="e">
        <f t="shared" ca="1" si="37"/>
        <v>#DIV/0!</v>
      </c>
    </row>
    <row r="44" spans="1:22" x14ac:dyDescent="0.3">
      <c r="A44" s="47" t="b">
        <v>0</v>
      </c>
      <c r="B44">
        <v>2662</v>
      </c>
      <c r="C44" s="42" t="s">
        <v>100</v>
      </c>
      <c r="D44" s="2">
        <f t="shared" ca="1" si="19"/>
        <v>0.53666666666666663</v>
      </c>
      <c r="E44" s="148">
        <f t="shared" ca="1" si="20"/>
        <v>7.5</v>
      </c>
      <c r="F44" s="2" t="e">
        <f t="shared" ca="1" si="21"/>
        <v>#DIV/0!</v>
      </c>
      <c r="G44" s="2" t="e">
        <f t="shared" ca="1" si="22"/>
        <v>#DIV/0!</v>
      </c>
      <c r="H44" s="42">
        <f t="shared" ca="1" si="23"/>
        <v>1</v>
      </c>
      <c r="I44" s="42">
        <f t="shared" ca="1" si="24"/>
        <v>4</v>
      </c>
      <c r="J44" s="42">
        <f t="shared" ca="1" si="25"/>
        <v>1</v>
      </c>
      <c r="K44">
        <f t="shared" ca="1" si="26"/>
        <v>1.4516129032258065</v>
      </c>
      <c r="L44">
        <f t="shared" ca="1" si="27"/>
        <v>53.666666666666664</v>
      </c>
      <c r="M44" s="2" t="e">
        <f t="shared" ca="1" si="28"/>
        <v>#DIV/0!</v>
      </c>
      <c r="N44" s="2" t="e">
        <f t="shared" ca="1" si="29"/>
        <v>#DIV/0!</v>
      </c>
      <c r="O44" s="2" t="e">
        <f t="shared" ca="1" si="30"/>
        <v>#DIV/0!</v>
      </c>
      <c r="P44">
        <f t="shared" ca="1" si="31"/>
        <v>0</v>
      </c>
      <c r="Q44">
        <f t="shared" ca="1" si="32"/>
        <v>0</v>
      </c>
      <c r="R44">
        <f t="shared" ca="1" si="33"/>
        <v>0</v>
      </c>
      <c r="S44">
        <f t="shared" ca="1" si="34"/>
        <v>0</v>
      </c>
      <c r="T44">
        <f t="shared" ca="1" si="35"/>
        <v>0</v>
      </c>
      <c r="U44">
        <f t="shared" ca="1" si="36"/>
        <v>0</v>
      </c>
      <c r="V44" s="2" t="e">
        <f t="shared" ca="1" si="37"/>
        <v>#DIV/0!</v>
      </c>
    </row>
    <row r="45" spans="1:22" x14ac:dyDescent="0.3">
      <c r="A45" s="47" t="b">
        <v>0</v>
      </c>
      <c r="B45">
        <v>4146</v>
      </c>
      <c r="C45" s="42" t="s">
        <v>109</v>
      </c>
      <c r="D45" s="2">
        <f t="shared" ca="1" si="19"/>
        <v>0.50249999999999995</v>
      </c>
      <c r="E45" s="148">
        <f t="shared" ca="1" si="20"/>
        <v>7.5</v>
      </c>
      <c r="F45" s="2" t="e">
        <f t="shared" ca="1" si="21"/>
        <v>#DIV/0!</v>
      </c>
      <c r="G45" s="2" t="e">
        <f t="shared" ca="1" si="22"/>
        <v>#DIV/0!</v>
      </c>
      <c r="H45" s="42">
        <f t="shared" ca="1" si="23"/>
        <v>3</v>
      </c>
      <c r="I45" s="42">
        <f t="shared" ca="1" si="24"/>
        <v>0</v>
      </c>
      <c r="J45" s="42">
        <f t="shared" ca="1" si="25"/>
        <v>1</v>
      </c>
      <c r="K45">
        <f t="shared" ca="1" si="26"/>
        <v>0.967741935483871</v>
      </c>
      <c r="L45">
        <f t="shared" ca="1" si="27"/>
        <v>50.25</v>
      </c>
      <c r="M45" s="2" t="e">
        <f t="shared" ca="1" si="28"/>
        <v>#DIV/0!</v>
      </c>
      <c r="N45" s="2" t="e">
        <f t="shared" ca="1" si="29"/>
        <v>#DIV/0!</v>
      </c>
      <c r="O45" s="2" t="e">
        <f t="shared" ca="1" si="30"/>
        <v>#DIV/0!</v>
      </c>
      <c r="P45">
        <f t="shared" ca="1" si="31"/>
        <v>0</v>
      </c>
      <c r="Q45">
        <f t="shared" ca="1" si="32"/>
        <v>0</v>
      </c>
      <c r="R45">
        <f t="shared" ca="1" si="33"/>
        <v>0</v>
      </c>
      <c r="S45">
        <f t="shared" ca="1" si="34"/>
        <v>0</v>
      </c>
      <c r="T45">
        <f t="shared" ca="1" si="35"/>
        <v>0</v>
      </c>
      <c r="U45">
        <f t="shared" ca="1" si="36"/>
        <v>0</v>
      </c>
      <c r="V45" s="2" t="e">
        <f t="shared" ca="1" si="37"/>
        <v>#DIV/0!</v>
      </c>
    </row>
    <row r="46" spans="1:22" x14ac:dyDescent="0.3">
      <c r="A46" s="47" t="b">
        <v>0</v>
      </c>
      <c r="B46">
        <v>1410</v>
      </c>
      <c r="C46" s="42" t="s">
        <v>93</v>
      </c>
      <c r="D46" s="2">
        <f t="shared" ca="1" si="19"/>
        <v>0.84571428571428564</v>
      </c>
      <c r="E46" s="148">
        <f t="shared" ca="1" si="20"/>
        <v>6.4285714285714288</v>
      </c>
      <c r="F46" s="2" t="e">
        <f t="shared" ca="1" si="21"/>
        <v>#DIV/0!</v>
      </c>
      <c r="G46" s="2" t="e">
        <f t="shared" ca="1" si="22"/>
        <v>#DIV/0!</v>
      </c>
      <c r="H46" s="42">
        <f t="shared" ca="1" si="23"/>
        <v>2</v>
      </c>
      <c r="I46" s="42">
        <f t="shared" ca="1" si="24"/>
        <v>4</v>
      </c>
      <c r="J46" s="42">
        <f t="shared" ca="1" si="25"/>
        <v>1</v>
      </c>
      <c r="K46">
        <f t="shared" ca="1" si="26"/>
        <v>1.4516129032258065</v>
      </c>
      <c r="L46">
        <f t="shared" ca="1" si="27"/>
        <v>84.571428571428569</v>
      </c>
      <c r="M46" s="2" t="e">
        <f t="shared" ca="1" si="28"/>
        <v>#DIV/0!</v>
      </c>
      <c r="N46" s="2" t="e">
        <f t="shared" ca="1" si="29"/>
        <v>#DIV/0!</v>
      </c>
      <c r="O46" s="2" t="e">
        <f t="shared" ca="1" si="30"/>
        <v>#DIV/0!</v>
      </c>
      <c r="P46">
        <f t="shared" ca="1" si="31"/>
        <v>0</v>
      </c>
      <c r="Q46">
        <f t="shared" ca="1" si="32"/>
        <v>0</v>
      </c>
      <c r="R46">
        <f t="shared" ca="1" si="33"/>
        <v>0</v>
      </c>
      <c r="S46">
        <f t="shared" ca="1" si="34"/>
        <v>0</v>
      </c>
      <c r="T46">
        <f t="shared" ca="1" si="35"/>
        <v>0</v>
      </c>
      <c r="U46">
        <f t="shared" ca="1" si="36"/>
        <v>0</v>
      </c>
      <c r="V46" s="2" t="e">
        <f t="shared" ca="1" si="37"/>
        <v>#DIV/0!</v>
      </c>
    </row>
    <row r="47" spans="1:22" x14ac:dyDescent="0.3">
      <c r="A47" s="47" t="b">
        <v>0</v>
      </c>
      <c r="B47">
        <v>2080</v>
      </c>
      <c r="C47" s="42" t="s">
        <v>95</v>
      </c>
      <c r="D47" s="2">
        <f t="shared" ca="1" si="19"/>
        <v>0.72166666666666668</v>
      </c>
      <c r="E47" s="148">
        <f t="shared" ca="1" si="20"/>
        <v>5</v>
      </c>
      <c r="F47" s="2" t="e">
        <f t="shared" ca="1" si="21"/>
        <v>#DIV/0!</v>
      </c>
      <c r="G47" s="2" t="e">
        <f t="shared" ca="1" si="22"/>
        <v>#DIV/0!</v>
      </c>
      <c r="H47" s="42">
        <f t="shared" ca="1" si="23"/>
        <v>1</v>
      </c>
      <c r="I47" s="42">
        <f t="shared" ca="1" si="24"/>
        <v>3</v>
      </c>
      <c r="J47" s="42">
        <f t="shared" ca="1" si="25"/>
        <v>2</v>
      </c>
      <c r="K47">
        <f t="shared" ca="1" si="26"/>
        <v>0.967741935483871</v>
      </c>
      <c r="L47">
        <f t="shared" ca="1" si="27"/>
        <v>72.166666666666671</v>
      </c>
      <c r="M47" s="2" t="e">
        <f t="shared" ca="1" si="28"/>
        <v>#DIV/0!</v>
      </c>
      <c r="N47" s="2" t="e">
        <f t="shared" ca="1" si="29"/>
        <v>#DIV/0!</v>
      </c>
      <c r="O47" s="2" t="e">
        <f t="shared" ca="1" si="30"/>
        <v>#DIV/0!</v>
      </c>
      <c r="P47">
        <f t="shared" ca="1" si="31"/>
        <v>0</v>
      </c>
      <c r="Q47">
        <f t="shared" ca="1" si="32"/>
        <v>0</v>
      </c>
      <c r="R47">
        <f t="shared" ca="1" si="33"/>
        <v>0</v>
      </c>
      <c r="S47">
        <f t="shared" ca="1" si="34"/>
        <v>0</v>
      </c>
      <c r="T47">
        <f t="shared" ca="1" si="35"/>
        <v>0</v>
      </c>
      <c r="U47">
        <f t="shared" ca="1" si="36"/>
        <v>0</v>
      </c>
      <c r="V47" s="2" t="e">
        <f t="shared" ca="1" si="37"/>
        <v>#DIV/0!</v>
      </c>
    </row>
    <row r="48" spans="1:22" x14ac:dyDescent="0.3">
      <c r="A48" s="47" t="b">
        <v>0</v>
      </c>
      <c r="B48">
        <v>10988</v>
      </c>
      <c r="C48" s="42" t="s">
        <v>135</v>
      </c>
      <c r="D48" s="2">
        <f t="shared" ca="1" si="19"/>
        <v>0.65249999999999997</v>
      </c>
      <c r="E48" s="148">
        <f t="shared" ca="1" si="20"/>
        <v>4</v>
      </c>
      <c r="F48" s="2" t="e">
        <f t="shared" ca="1" si="21"/>
        <v>#DIV/0!</v>
      </c>
      <c r="G48" s="2" t="e">
        <f t="shared" ca="1" si="22"/>
        <v>#DIV/0!</v>
      </c>
      <c r="H48" s="42">
        <f t="shared" ca="1" si="23"/>
        <v>0</v>
      </c>
      <c r="I48" s="42">
        <f t="shared" ca="1" si="24"/>
        <v>2</v>
      </c>
      <c r="J48" s="42">
        <f t="shared" ca="1" si="25"/>
        <v>2</v>
      </c>
      <c r="K48">
        <f t="shared" ca="1" si="26"/>
        <v>0.88888888888888884</v>
      </c>
      <c r="L48">
        <f t="shared" ca="1" si="27"/>
        <v>65.25</v>
      </c>
      <c r="M48" s="2" t="e">
        <f t="shared" ca="1" si="28"/>
        <v>#DIV/0!</v>
      </c>
      <c r="N48" s="2" t="e">
        <f t="shared" ca="1" si="29"/>
        <v>#DIV/0!</v>
      </c>
      <c r="O48" s="2" t="e">
        <f t="shared" ca="1" si="30"/>
        <v>#DIV/0!</v>
      </c>
      <c r="P48">
        <f t="shared" ca="1" si="31"/>
        <v>0</v>
      </c>
      <c r="Q48">
        <f t="shared" ca="1" si="32"/>
        <v>0</v>
      </c>
      <c r="R48">
        <f t="shared" ca="1" si="33"/>
        <v>0</v>
      </c>
      <c r="S48">
        <f t="shared" ca="1" si="34"/>
        <v>0</v>
      </c>
      <c r="T48">
        <f t="shared" ca="1" si="35"/>
        <v>0</v>
      </c>
      <c r="U48">
        <f t="shared" ca="1" si="36"/>
        <v>0</v>
      </c>
      <c r="V48" s="2" t="e">
        <f t="shared" ca="1" si="37"/>
        <v>#DIV/0!</v>
      </c>
    </row>
    <row r="49" spans="1:22" x14ac:dyDescent="0.3">
      <c r="A49" s="47" t="b">
        <v>0</v>
      </c>
      <c r="B49">
        <v>10905</v>
      </c>
      <c r="C49" s="42" t="s">
        <v>132</v>
      </c>
      <c r="D49" s="2">
        <f t="shared" ca="1" si="19"/>
        <v>0.71333333333333326</v>
      </c>
      <c r="E49" s="148">
        <f t="shared" ca="1" si="20"/>
        <v>4.166666666666667</v>
      </c>
      <c r="F49" s="2">
        <f t="shared" ca="1" si="21"/>
        <v>0</v>
      </c>
      <c r="G49" s="2" t="e">
        <f t="shared" ca="1" si="22"/>
        <v>#DIV/0!</v>
      </c>
      <c r="H49" s="42">
        <f t="shared" ca="1" si="23"/>
        <v>3</v>
      </c>
      <c r="I49" s="42">
        <f t="shared" ca="1" si="24"/>
        <v>2</v>
      </c>
      <c r="J49" s="42">
        <f t="shared" ca="1" si="25"/>
        <v>1</v>
      </c>
      <c r="K49">
        <f t="shared" ca="1" si="26"/>
        <v>1.3888888888888888</v>
      </c>
      <c r="L49">
        <f t="shared" ca="1" si="27"/>
        <v>71.333333333333329</v>
      </c>
      <c r="M49" s="2" t="e">
        <f t="shared" ca="1" si="28"/>
        <v>#DIV/0!</v>
      </c>
      <c r="N49" s="2" t="e">
        <f t="shared" ca="1" si="29"/>
        <v>#DIV/0!</v>
      </c>
      <c r="O49" s="2" t="e">
        <f t="shared" ca="1" si="30"/>
        <v>#DIV/0!</v>
      </c>
      <c r="P49">
        <f t="shared" ca="1" si="31"/>
        <v>0</v>
      </c>
      <c r="Q49">
        <f t="shared" ca="1" si="32"/>
        <v>0</v>
      </c>
      <c r="R49">
        <f t="shared" ca="1" si="33"/>
        <v>0</v>
      </c>
      <c r="S49">
        <f t="shared" ca="1" si="34"/>
        <v>0</v>
      </c>
      <c r="T49">
        <f t="shared" ca="1" si="35"/>
        <v>0</v>
      </c>
      <c r="U49">
        <f t="shared" ca="1" si="36"/>
        <v>0</v>
      </c>
      <c r="V49" s="2" t="e">
        <f t="shared" ca="1" si="37"/>
        <v>#DIV/0!</v>
      </c>
    </row>
    <row r="50" spans="1:22" x14ac:dyDescent="0.3">
      <c r="A50" s="47" t="b">
        <v>0</v>
      </c>
      <c r="B50">
        <v>3944</v>
      </c>
      <c r="C50" s="42" t="s">
        <v>108</v>
      </c>
      <c r="D50" s="2">
        <f t="shared" ca="1" si="19"/>
        <v>0.42</v>
      </c>
      <c r="E50" s="148">
        <f t="shared" ca="1" si="20"/>
        <v>3.25</v>
      </c>
      <c r="F50" s="2" t="e">
        <f t="shared" ca="1" si="21"/>
        <v>#DIV/0!</v>
      </c>
      <c r="G50" s="2" t="e">
        <f t="shared" ca="1" si="22"/>
        <v>#DIV/0!</v>
      </c>
      <c r="H50" s="42">
        <f t="shared" ca="1" si="23"/>
        <v>1</v>
      </c>
      <c r="I50" s="42">
        <f t="shared" ca="1" si="24"/>
        <v>1</v>
      </c>
      <c r="J50" s="42">
        <f t="shared" ca="1" si="25"/>
        <v>2</v>
      </c>
      <c r="K50">
        <f t="shared" ca="1" si="26"/>
        <v>0.41935483870967744</v>
      </c>
      <c r="L50">
        <f t="shared" ca="1" si="27"/>
        <v>42</v>
      </c>
      <c r="M50" s="2" t="e">
        <f t="shared" ca="1" si="28"/>
        <v>#DIV/0!</v>
      </c>
      <c r="N50" s="2" t="e">
        <f t="shared" ca="1" si="29"/>
        <v>#DIV/0!</v>
      </c>
      <c r="O50" s="2" t="e">
        <f t="shared" ca="1" si="30"/>
        <v>#DIV/0!</v>
      </c>
      <c r="P50">
        <f t="shared" ca="1" si="31"/>
        <v>0</v>
      </c>
      <c r="Q50">
        <f t="shared" ca="1" si="32"/>
        <v>0</v>
      </c>
      <c r="R50">
        <f t="shared" ca="1" si="33"/>
        <v>0</v>
      </c>
      <c r="S50">
        <f t="shared" ca="1" si="34"/>
        <v>0</v>
      </c>
      <c r="T50">
        <f t="shared" ca="1" si="35"/>
        <v>0</v>
      </c>
      <c r="U50">
        <f t="shared" ca="1" si="36"/>
        <v>0</v>
      </c>
      <c r="V50" s="2" t="e">
        <f t="shared" ca="1" si="37"/>
        <v>#DIV/0!</v>
      </c>
    </row>
    <row r="51" spans="1:22" x14ac:dyDescent="0.3">
      <c r="A51" s="47" t="b">
        <v>0</v>
      </c>
      <c r="B51">
        <v>9091</v>
      </c>
      <c r="C51" s="42" t="s">
        <v>123</v>
      </c>
      <c r="D51" s="2">
        <f t="shared" ca="1" si="19"/>
        <v>0.96571428571428575</v>
      </c>
      <c r="E51" s="148">
        <f t="shared" ca="1" si="20"/>
        <v>2</v>
      </c>
      <c r="F51" s="2">
        <f t="shared" ca="1" si="21"/>
        <v>0</v>
      </c>
      <c r="G51" s="2" t="e">
        <f t="shared" ca="1" si="22"/>
        <v>#DIV/0!</v>
      </c>
      <c r="H51" s="42">
        <f t="shared" ca="1" si="23"/>
        <v>1</v>
      </c>
      <c r="I51" s="42">
        <f t="shared" ca="1" si="24"/>
        <v>5</v>
      </c>
      <c r="J51" s="42">
        <f t="shared" ca="1" si="25"/>
        <v>1</v>
      </c>
      <c r="K51">
        <f t="shared" ca="1" si="26"/>
        <v>0.45161290322580644</v>
      </c>
      <c r="L51">
        <f t="shared" ca="1" si="27"/>
        <v>96.571428571428569</v>
      </c>
      <c r="M51" s="2" t="e">
        <f t="shared" ca="1" si="28"/>
        <v>#DIV/0!</v>
      </c>
      <c r="N51" s="2" t="e">
        <f t="shared" ca="1" si="29"/>
        <v>#DIV/0!</v>
      </c>
      <c r="O51" s="2" t="e">
        <f t="shared" ca="1" si="30"/>
        <v>#DIV/0!</v>
      </c>
      <c r="P51">
        <f t="shared" ca="1" si="31"/>
        <v>0</v>
      </c>
      <c r="Q51">
        <f t="shared" ca="1" si="32"/>
        <v>0</v>
      </c>
      <c r="R51">
        <f t="shared" ca="1" si="33"/>
        <v>0</v>
      </c>
      <c r="S51">
        <f t="shared" ca="1" si="34"/>
        <v>0</v>
      </c>
      <c r="T51">
        <f t="shared" ca="1" si="35"/>
        <v>0</v>
      </c>
      <c r="U51">
        <f t="shared" ca="1" si="36"/>
        <v>0</v>
      </c>
      <c r="V51" s="2" t="e">
        <f t="shared" ca="1" si="37"/>
        <v>#DIV/0!</v>
      </c>
    </row>
    <row r="52" spans="1:22" x14ac:dyDescent="0.3">
      <c r="A52" s="47" t="b">
        <v>0</v>
      </c>
      <c r="B52">
        <v>1165</v>
      </c>
      <c r="C52" s="42" t="s">
        <v>91</v>
      </c>
      <c r="D52" s="2">
        <f t="shared" ca="1" si="19"/>
        <v>0.40600000000000003</v>
      </c>
      <c r="E52" s="148">
        <f t="shared" ca="1" si="20"/>
        <v>1.2</v>
      </c>
      <c r="F52" s="2" t="e">
        <f t="shared" ca="1" si="21"/>
        <v>#DIV/0!</v>
      </c>
      <c r="G52" s="2" t="e">
        <f t="shared" ca="1" si="22"/>
        <v>#DIV/0!</v>
      </c>
      <c r="H52" s="42">
        <f t="shared" ca="1" si="23"/>
        <v>2</v>
      </c>
      <c r="I52" s="42">
        <f t="shared" ca="1" si="24"/>
        <v>3</v>
      </c>
      <c r="J52" s="42">
        <f t="shared" ca="1" si="25"/>
        <v>0</v>
      </c>
      <c r="K52">
        <f t="shared" ca="1" si="26"/>
        <v>0.19354838709677419</v>
      </c>
      <c r="L52">
        <f t="shared" ca="1" si="27"/>
        <v>40.6</v>
      </c>
      <c r="M52" s="2" t="e">
        <f t="shared" ca="1" si="28"/>
        <v>#DIV/0!</v>
      </c>
      <c r="N52" s="2" t="e">
        <f t="shared" ca="1" si="29"/>
        <v>#DIV/0!</v>
      </c>
      <c r="O52" s="2" t="e">
        <f t="shared" ca="1" si="30"/>
        <v>#DIV/0!</v>
      </c>
      <c r="P52">
        <f t="shared" ca="1" si="31"/>
        <v>0</v>
      </c>
      <c r="Q52">
        <f t="shared" ca="1" si="32"/>
        <v>0</v>
      </c>
      <c r="R52">
        <f t="shared" ca="1" si="33"/>
        <v>0</v>
      </c>
      <c r="S52">
        <f t="shared" ca="1" si="34"/>
        <v>0</v>
      </c>
      <c r="T52">
        <f t="shared" ca="1" si="35"/>
        <v>0</v>
      </c>
      <c r="U52">
        <f t="shared" ca="1" si="36"/>
        <v>0</v>
      </c>
      <c r="V52" s="2" t="e">
        <f t="shared" ca="1" si="37"/>
        <v>#DIV/0!</v>
      </c>
    </row>
    <row r="53" spans="1:22" ht="28.8" x14ac:dyDescent="0.3">
      <c r="A53" s="47" t="b">
        <v>0</v>
      </c>
      <c r="B53">
        <v>10506</v>
      </c>
      <c r="C53" s="42" t="s">
        <v>131</v>
      </c>
      <c r="D53" s="2">
        <f t="shared" ca="1" si="19"/>
        <v>0.68200000000000005</v>
      </c>
      <c r="E53" s="148">
        <f t="shared" ca="1" si="20"/>
        <v>0.8</v>
      </c>
      <c r="F53" s="2" t="e">
        <f t="shared" ca="1" si="21"/>
        <v>#DIV/0!</v>
      </c>
      <c r="G53" s="2" t="e">
        <f t="shared" ca="1" si="22"/>
        <v>#DIV/0!</v>
      </c>
      <c r="H53" s="42">
        <f t="shared" ca="1" si="23"/>
        <v>3</v>
      </c>
      <c r="I53" s="42">
        <f t="shared" ca="1" si="24"/>
        <v>2</v>
      </c>
      <c r="J53" s="42">
        <f t="shared" ca="1" si="25"/>
        <v>0</v>
      </c>
      <c r="K53">
        <f t="shared" ca="1" si="26"/>
        <v>0.22222222222222221</v>
      </c>
      <c r="L53">
        <f t="shared" ca="1" si="27"/>
        <v>68.2</v>
      </c>
      <c r="M53" s="2" t="e">
        <f t="shared" ca="1" si="28"/>
        <v>#DIV/0!</v>
      </c>
      <c r="N53" s="2" t="e">
        <f t="shared" ca="1" si="29"/>
        <v>#DIV/0!</v>
      </c>
      <c r="O53" s="2" t="e">
        <f t="shared" ca="1" si="30"/>
        <v>#DIV/0!</v>
      </c>
      <c r="P53">
        <f t="shared" ca="1" si="31"/>
        <v>0</v>
      </c>
      <c r="Q53">
        <f t="shared" ca="1" si="32"/>
        <v>0</v>
      </c>
      <c r="R53">
        <f t="shared" ca="1" si="33"/>
        <v>0</v>
      </c>
      <c r="S53">
        <f t="shared" ca="1" si="34"/>
        <v>0</v>
      </c>
      <c r="T53">
        <f t="shared" ca="1" si="35"/>
        <v>0</v>
      </c>
      <c r="U53">
        <f t="shared" ca="1" si="36"/>
        <v>0</v>
      </c>
      <c r="V53" s="2" t="e">
        <f t="shared" ca="1" si="37"/>
        <v>#DIV/0!</v>
      </c>
    </row>
    <row r="54" spans="1:22" x14ac:dyDescent="0.3">
      <c r="A54" s="47" t="b">
        <v>0</v>
      </c>
      <c r="B54">
        <v>8012</v>
      </c>
      <c r="C54" s="42" t="s">
        <v>120</v>
      </c>
      <c r="D54" s="2">
        <f t="shared" ca="1" si="19"/>
        <v>0.71400000000000008</v>
      </c>
      <c r="E54" s="148">
        <f t="shared" ca="1" si="20"/>
        <v>1.6</v>
      </c>
      <c r="F54" s="2" t="e">
        <f t="shared" ca="1" si="21"/>
        <v>#DIV/0!</v>
      </c>
      <c r="G54" s="2" t="e">
        <f t="shared" ca="1" si="22"/>
        <v>#DIV/0!</v>
      </c>
      <c r="H54" s="42">
        <f t="shared" ca="1" si="23"/>
        <v>0</v>
      </c>
      <c r="I54" s="42">
        <f t="shared" ca="1" si="24"/>
        <v>5</v>
      </c>
      <c r="J54" s="42">
        <f t="shared" ca="1" si="25"/>
        <v>0</v>
      </c>
      <c r="K54">
        <f t="shared" ca="1" si="26"/>
        <v>0.25806451612903225</v>
      </c>
      <c r="L54">
        <f t="shared" ca="1" si="27"/>
        <v>71.400000000000006</v>
      </c>
      <c r="M54" s="2" t="e">
        <f t="shared" ca="1" si="28"/>
        <v>#DIV/0!</v>
      </c>
      <c r="N54" s="2" t="e">
        <f t="shared" ca="1" si="29"/>
        <v>#DIV/0!</v>
      </c>
      <c r="O54" s="2" t="e">
        <f t="shared" ca="1" si="30"/>
        <v>#DIV/0!</v>
      </c>
      <c r="P54">
        <f t="shared" ca="1" si="31"/>
        <v>0</v>
      </c>
      <c r="Q54">
        <f t="shared" ca="1" si="32"/>
        <v>0</v>
      </c>
      <c r="R54">
        <f t="shared" ca="1" si="33"/>
        <v>0</v>
      </c>
      <c r="S54">
        <f t="shared" ca="1" si="34"/>
        <v>0</v>
      </c>
      <c r="T54">
        <f t="shared" ca="1" si="35"/>
        <v>0</v>
      </c>
      <c r="U54">
        <f t="shared" ca="1" si="36"/>
        <v>0</v>
      </c>
      <c r="V54" s="2" t="e">
        <f t="shared" ca="1" si="37"/>
        <v>#DIV/0!</v>
      </c>
    </row>
    <row r="55" spans="1:22" x14ac:dyDescent="0.3">
      <c r="A55" s="47" t="b">
        <v>0</v>
      </c>
      <c r="B55">
        <v>996</v>
      </c>
      <c r="C55" s="42" t="s">
        <v>90</v>
      </c>
      <c r="D55" s="2">
        <f t="shared" ca="1" si="19"/>
        <v>1</v>
      </c>
      <c r="E55" s="148">
        <f t="shared" ca="1" si="20"/>
        <v>0</v>
      </c>
      <c r="F55" s="2" t="e">
        <f t="shared" ca="1" si="21"/>
        <v>#DIV/0!</v>
      </c>
      <c r="G55" s="2" t="e">
        <f t="shared" ca="1" si="22"/>
        <v>#DIV/0!</v>
      </c>
      <c r="H55" s="42">
        <f t="shared" ca="1" si="23"/>
        <v>2</v>
      </c>
      <c r="I55" s="42">
        <f t="shared" ca="1" si="24"/>
        <v>1</v>
      </c>
      <c r="J55" s="42">
        <f t="shared" ca="1" si="25"/>
        <v>1</v>
      </c>
      <c r="K55">
        <f t="shared" ca="1" si="26"/>
        <v>0</v>
      </c>
      <c r="L55">
        <f t="shared" ca="1" si="27"/>
        <v>100</v>
      </c>
      <c r="M55" s="2" t="e">
        <f t="shared" ca="1" si="28"/>
        <v>#DIV/0!</v>
      </c>
      <c r="N55" s="2" t="e">
        <f t="shared" ca="1" si="29"/>
        <v>#DIV/0!</v>
      </c>
      <c r="O55" s="2" t="e">
        <f t="shared" ca="1" si="30"/>
        <v>#DIV/0!</v>
      </c>
      <c r="P55">
        <f t="shared" ca="1" si="31"/>
        <v>0</v>
      </c>
      <c r="Q55">
        <f t="shared" ca="1" si="32"/>
        <v>0</v>
      </c>
      <c r="R55">
        <f t="shared" ca="1" si="33"/>
        <v>0</v>
      </c>
      <c r="S55">
        <f t="shared" ca="1" si="34"/>
        <v>0</v>
      </c>
      <c r="T55">
        <f t="shared" ca="1" si="35"/>
        <v>0</v>
      </c>
      <c r="U55">
        <f t="shared" ca="1" si="36"/>
        <v>0</v>
      </c>
      <c r="V55" s="2" t="e">
        <f t="shared" ca="1" si="37"/>
        <v>#DIV/0!</v>
      </c>
    </row>
    <row r="56" spans="1:22" ht="28.8" x14ac:dyDescent="0.3">
      <c r="A56" s="47" t="b">
        <v>0</v>
      </c>
      <c r="B56">
        <v>9534</v>
      </c>
      <c r="C56" s="42" t="s">
        <v>125</v>
      </c>
      <c r="D56" s="2">
        <f t="shared" ca="1" si="19"/>
        <v>0.67</v>
      </c>
      <c r="E56" s="148">
        <f t="shared" ca="1" si="20"/>
        <v>0</v>
      </c>
      <c r="F56" s="2" t="e">
        <f t="shared" ca="1" si="21"/>
        <v>#DIV/0!</v>
      </c>
      <c r="G56" s="2" t="e">
        <f t="shared" ca="1" si="22"/>
        <v>#DIV/0!</v>
      </c>
      <c r="H56" s="42">
        <f t="shared" ca="1" si="23"/>
        <v>0</v>
      </c>
      <c r="I56" s="42">
        <f t="shared" ca="1" si="24"/>
        <v>4</v>
      </c>
      <c r="J56" s="42">
        <f t="shared" ca="1" si="25"/>
        <v>2</v>
      </c>
      <c r="K56">
        <f t="shared" ca="1" si="26"/>
        <v>0</v>
      </c>
      <c r="L56">
        <f t="shared" ca="1" si="27"/>
        <v>67</v>
      </c>
      <c r="M56" s="2" t="e">
        <f t="shared" ca="1" si="28"/>
        <v>#DIV/0!</v>
      </c>
      <c r="N56" s="2" t="e">
        <f t="shared" ca="1" si="29"/>
        <v>#DIV/0!</v>
      </c>
      <c r="O56" s="2" t="e">
        <f t="shared" ca="1" si="30"/>
        <v>#DIV/0!</v>
      </c>
      <c r="P56">
        <f t="shared" ca="1" si="31"/>
        <v>0</v>
      </c>
      <c r="Q56">
        <f t="shared" ca="1" si="32"/>
        <v>0</v>
      </c>
      <c r="R56">
        <f t="shared" ca="1" si="33"/>
        <v>0</v>
      </c>
      <c r="S56">
        <f t="shared" ca="1" si="34"/>
        <v>0</v>
      </c>
      <c r="T56">
        <f t="shared" ca="1" si="35"/>
        <v>0</v>
      </c>
      <c r="U56">
        <f t="shared" ca="1" si="36"/>
        <v>0</v>
      </c>
      <c r="V56" s="2" t="e">
        <f t="shared" ca="1" si="37"/>
        <v>#DIV/0!</v>
      </c>
    </row>
    <row r="57" spans="1:22" x14ac:dyDescent="0.3">
      <c r="A57" s="47" t="b">
        <v>0</v>
      </c>
      <c r="B57">
        <v>9704</v>
      </c>
      <c r="C57" s="42" t="s">
        <v>126</v>
      </c>
      <c r="D57" s="2">
        <f t="shared" ca="1" si="19"/>
        <v>0.218</v>
      </c>
      <c r="E57" s="148">
        <f t="shared" ca="1" si="20"/>
        <v>0</v>
      </c>
      <c r="F57" s="2" t="e">
        <f t="shared" ca="1" si="21"/>
        <v>#DIV/0!</v>
      </c>
      <c r="G57" s="2" t="e">
        <f t="shared" ca="1" si="22"/>
        <v>#DIV/0!</v>
      </c>
      <c r="H57" s="42">
        <f t="shared" ca="1" si="23"/>
        <v>0</v>
      </c>
      <c r="I57" s="42">
        <f t="shared" ca="1" si="24"/>
        <v>3</v>
      </c>
      <c r="J57" s="42">
        <f t="shared" ca="1" si="25"/>
        <v>2</v>
      </c>
      <c r="K57">
        <f t="shared" ca="1" si="26"/>
        <v>0</v>
      </c>
      <c r="L57">
        <f t="shared" ca="1" si="27"/>
        <v>21.8</v>
      </c>
      <c r="M57" s="2" t="e">
        <f t="shared" ca="1" si="28"/>
        <v>#DIV/0!</v>
      </c>
      <c r="N57" s="2" t="e">
        <f t="shared" ca="1" si="29"/>
        <v>#DIV/0!</v>
      </c>
      <c r="O57" s="2" t="e">
        <f t="shared" ca="1" si="30"/>
        <v>#DIV/0!</v>
      </c>
      <c r="P57">
        <f t="shared" ca="1" si="31"/>
        <v>0</v>
      </c>
      <c r="Q57">
        <f t="shared" ca="1" si="32"/>
        <v>0</v>
      </c>
      <c r="R57">
        <f t="shared" ca="1" si="33"/>
        <v>0</v>
      </c>
      <c r="S57">
        <f t="shared" ca="1" si="34"/>
        <v>0</v>
      </c>
      <c r="T57">
        <f t="shared" ca="1" si="35"/>
        <v>0</v>
      </c>
      <c r="U57">
        <f t="shared" ca="1" si="36"/>
        <v>0</v>
      </c>
      <c r="V57" s="2" t="e">
        <f t="shared" ca="1" si="37"/>
        <v>#DIV/0!</v>
      </c>
    </row>
    <row r="58" spans="1:22" x14ac:dyDescent="0.3">
      <c r="A58" s="47" t="b">
        <v>0</v>
      </c>
      <c r="C58" s="42"/>
      <c r="D58" s="2"/>
      <c r="F58" s="2"/>
      <c r="G58" s="2"/>
      <c r="H58" s="42"/>
      <c r="I58" s="42"/>
      <c r="J58" s="42"/>
      <c r="M58" s="2"/>
      <c r="N58" s="2"/>
      <c r="O58" s="2"/>
      <c r="V58" s="2"/>
    </row>
    <row r="59" spans="1:22" x14ac:dyDescent="0.3">
      <c r="A59" s="47" t="b">
        <v>0</v>
      </c>
      <c r="C59" s="42"/>
      <c r="D59" s="2"/>
      <c r="F59" s="2"/>
      <c r="G59" s="2"/>
      <c r="H59" s="42"/>
      <c r="I59" s="42"/>
      <c r="J59" s="42"/>
      <c r="M59" s="2"/>
      <c r="N59" s="2"/>
      <c r="O59" s="2"/>
      <c r="V59" s="2"/>
    </row>
  </sheetData>
  <mergeCells count="4">
    <mergeCell ref="D1:E1"/>
    <mergeCell ref="B1:C1"/>
    <mergeCell ref="F1:G1"/>
    <mergeCell ref="H1:J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3B91-F968-4C70-BF94-666E8A9DDB64}">
  <dimension ref="A1:C91"/>
  <sheetViews>
    <sheetView topLeftCell="A24" zoomScale="85" workbookViewId="0">
      <selection activeCell="C79" sqref="C79:C91"/>
    </sheetView>
  </sheetViews>
  <sheetFormatPr defaultRowHeight="14.4" x14ac:dyDescent="0.3"/>
  <cols>
    <col min="1" max="1" width="12.88671875" bestFit="1" customWidth="1"/>
    <col min="3" max="3" width="10.33203125" bestFit="1" customWidth="1"/>
  </cols>
  <sheetData>
    <row r="1" spans="1:3" x14ac:dyDescent="0.3">
      <c r="A1" t="str" cm="1">
        <f t="array" ref="A1:A65">_xlfn.UNIQUE(Data_Input!D:D)</f>
        <v>Team Number</v>
      </c>
      <c r="C1" t="s">
        <v>149</v>
      </c>
    </row>
    <row r="2" spans="1:3" x14ac:dyDescent="0.3">
      <c r="A2">
        <v>6479</v>
      </c>
      <c r="C2">
        <v>1</v>
      </c>
    </row>
    <row r="3" spans="1:3" x14ac:dyDescent="0.3">
      <c r="A3">
        <v>2403</v>
      </c>
      <c r="C3">
        <v>2</v>
      </c>
    </row>
    <row r="4" spans="1:3" x14ac:dyDescent="0.3">
      <c r="A4">
        <v>9091</v>
      </c>
      <c r="C4">
        <v>3</v>
      </c>
    </row>
    <row r="5" spans="1:3" x14ac:dyDescent="0.3">
      <c r="A5">
        <v>10114</v>
      </c>
      <c r="C5">
        <v>4</v>
      </c>
    </row>
    <row r="6" spans="1:3" x14ac:dyDescent="0.3">
      <c r="A6">
        <v>6833</v>
      </c>
      <c r="C6">
        <v>5</v>
      </c>
    </row>
    <row r="7" spans="1:3" x14ac:dyDescent="0.3">
      <c r="A7">
        <v>2478</v>
      </c>
      <c r="C7">
        <v>6</v>
      </c>
    </row>
    <row r="8" spans="1:3" x14ac:dyDescent="0.3">
      <c r="A8">
        <v>2662</v>
      </c>
      <c r="C8">
        <v>7</v>
      </c>
    </row>
    <row r="9" spans="1:3" x14ac:dyDescent="0.3">
      <c r="A9">
        <v>991</v>
      </c>
      <c r="C9">
        <v>8</v>
      </c>
    </row>
    <row r="10" spans="1:3" x14ac:dyDescent="0.3">
      <c r="A10">
        <v>3424</v>
      </c>
      <c r="C10">
        <v>9</v>
      </c>
    </row>
    <row r="11" spans="1:3" x14ac:dyDescent="0.3">
      <c r="A11">
        <v>10506</v>
      </c>
      <c r="C11">
        <v>10</v>
      </c>
    </row>
    <row r="12" spans="1:3" x14ac:dyDescent="0.3">
      <c r="A12">
        <v>9059</v>
      </c>
      <c r="C12">
        <v>11</v>
      </c>
    </row>
    <row r="13" spans="1:3" x14ac:dyDescent="0.3">
      <c r="A13">
        <v>987</v>
      </c>
      <c r="C13">
        <v>12</v>
      </c>
    </row>
    <row r="14" spans="1:3" x14ac:dyDescent="0.3">
      <c r="A14">
        <v>8714</v>
      </c>
      <c r="C14">
        <v>13</v>
      </c>
    </row>
    <row r="15" spans="1:3" x14ac:dyDescent="0.3">
      <c r="A15">
        <v>244</v>
      </c>
      <c r="C15">
        <v>14</v>
      </c>
    </row>
    <row r="16" spans="1:3" x14ac:dyDescent="0.3">
      <c r="A16">
        <v>2486</v>
      </c>
      <c r="C16">
        <v>15</v>
      </c>
    </row>
    <row r="17" spans="1:3" x14ac:dyDescent="0.3">
      <c r="A17">
        <v>288</v>
      </c>
      <c r="C17">
        <v>16</v>
      </c>
    </row>
    <row r="18" spans="1:3" x14ac:dyDescent="0.3">
      <c r="A18">
        <v>6352</v>
      </c>
      <c r="C18">
        <v>17</v>
      </c>
    </row>
    <row r="19" spans="1:3" x14ac:dyDescent="0.3">
      <c r="A19">
        <v>3944</v>
      </c>
      <c r="C19">
        <v>18</v>
      </c>
    </row>
    <row r="20" spans="1:3" x14ac:dyDescent="0.3">
      <c r="A20">
        <v>9534</v>
      </c>
      <c r="C20">
        <v>19</v>
      </c>
    </row>
    <row r="21" spans="1:3" x14ac:dyDescent="0.3">
      <c r="A21">
        <v>6413</v>
      </c>
      <c r="C21">
        <v>20</v>
      </c>
    </row>
    <row r="22" spans="1:3" x14ac:dyDescent="0.3">
      <c r="A22">
        <v>1165</v>
      </c>
      <c r="C22">
        <v>21</v>
      </c>
    </row>
    <row r="23" spans="1:3" x14ac:dyDescent="0.3">
      <c r="A23">
        <v>11176</v>
      </c>
      <c r="C23">
        <v>22</v>
      </c>
    </row>
    <row r="24" spans="1:3" x14ac:dyDescent="0.3">
      <c r="A24">
        <v>8012</v>
      </c>
      <c r="C24">
        <v>23</v>
      </c>
    </row>
    <row r="25" spans="1:3" x14ac:dyDescent="0.3">
      <c r="A25">
        <v>11100</v>
      </c>
      <c r="C25">
        <v>24</v>
      </c>
    </row>
    <row r="26" spans="1:3" x14ac:dyDescent="0.3">
      <c r="A26">
        <v>10980</v>
      </c>
      <c r="C26">
        <v>25</v>
      </c>
    </row>
    <row r="27" spans="1:3" x14ac:dyDescent="0.3">
      <c r="A27">
        <v>9777</v>
      </c>
      <c r="C27">
        <v>26</v>
      </c>
    </row>
    <row r="28" spans="1:3" x14ac:dyDescent="0.3">
      <c r="A28">
        <v>9501</v>
      </c>
      <c r="C28">
        <v>27</v>
      </c>
    </row>
    <row r="29" spans="1:3" x14ac:dyDescent="0.3">
      <c r="A29">
        <v>11479</v>
      </c>
      <c r="C29">
        <v>28</v>
      </c>
    </row>
    <row r="30" spans="1:3" x14ac:dyDescent="0.3">
      <c r="A30">
        <v>7333</v>
      </c>
      <c r="C30">
        <v>29</v>
      </c>
    </row>
    <row r="31" spans="1:3" x14ac:dyDescent="0.3">
      <c r="A31">
        <v>3245</v>
      </c>
      <c r="C31">
        <v>30</v>
      </c>
    </row>
    <row r="32" spans="1:3" x14ac:dyDescent="0.3">
      <c r="A32">
        <v>7755</v>
      </c>
      <c r="C32">
        <v>31</v>
      </c>
    </row>
    <row r="33" spans="1:3" x14ac:dyDescent="0.3">
      <c r="A33">
        <v>1410</v>
      </c>
      <c r="C33">
        <v>32</v>
      </c>
    </row>
    <row r="34" spans="1:3" x14ac:dyDescent="0.3">
      <c r="A34">
        <v>5933</v>
      </c>
      <c r="C34">
        <v>33</v>
      </c>
    </row>
    <row r="35" spans="1:3" x14ac:dyDescent="0.3">
      <c r="A35">
        <v>9704</v>
      </c>
      <c r="C35">
        <v>34</v>
      </c>
    </row>
    <row r="36" spans="1:3" x14ac:dyDescent="0.3">
      <c r="A36">
        <v>996</v>
      </c>
      <c r="C36">
        <v>35</v>
      </c>
    </row>
    <row r="37" spans="1:3" x14ac:dyDescent="0.3">
      <c r="A37">
        <v>10905</v>
      </c>
      <c r="C37">
        <v>36</v>
      </c>
    </row>
    <row r="38" spans="1:3" x14ac:dyDescent="0.3">
      <c r="A38">
        <v>0</v>
      </c>
      <c r="C38">
        <v>37</v>
      </c>
    </row>
    <row r="39" spans="1:3" x14ac:dyDescent="0.3">
      <c r="A39">
        <v>8717</v>
      </c>
      <c r="C39">
        <v>38</v>
      </c>
    </row>
    <row r="40" spans="1:3" x14ac:dyDescent="0.3">
      <c r="A40">
        <v>2080</v>
      </c>
      <c r="C40">
        <v>39</v>
      </c>
    </row>
    <row r="41" spans="1:3" x14ac:dyDescent="0.3">
      <c r="A41">
        <v>7426</v>
      </c>
      <c r="C41">
        <v>40</v>
      </c>
    </row>
    <row r="42" spans="1:3" x14ac:dyDescent="0.3">
      <c r="A42">
        <v>60</v>
      </c>
      <c r="C42">
        <v>41</v>
      </c>
    </row>
    <row r="43" spans="1:3" x14ac:dyDescent="0.3">
      <c r="A43">
        <v>10993</v>
      </c>
      <c r="C43">
        <v>42</v>
      </c>
    </row>
    <row r="44" spans="1:3" x14ac:dyDescent="0.3">
      <c r="A44">
        <v>3216</v>
      </c>
      <c r="C44">
        <v>43</v>
      </c>
    </row>
    <row r="45" spans="1:3" x14ac:dyDescent="0.3">
      <c r="A45">
        <v>3009</v>
      </c>
      <c r="C45">
        <v>44</v>
      </c>
    </row>
    <row r="46" spans="1:3" x14ac:dyDescent="0.3">
      <c r="A46">
        <v>7425</v>
      </c>
      <c r="C46">
        <v>45</v>
      </c>
    </row>
    <row r="47" spans="1:3" x14ac:dyDescent="0.3">
      <c r="A47">
        <v>2840</v>
      </c>
      <c r="C47">
        <v>46</v>
      </c>
    </row>
    <row r="48" spans="1:3" x14ac:dyDescent="0.3">
      <c r="A48">
        <v>4731</v>
      </c>
      <c r="C48">
        <v>47</v>
      </c>
    </row>
    <row r="49" spans="1:3" x14ac:dyDescent="0.3">
      <c r="A49">
        <v>10183</v>
      </c>
      <c r="C49">
        <v>48</v>
      </c>
    </row>
    <row r="50" spans="1:3" x14ac:dyDescent="0.3">
      <c r="A50">
        <v>698</v>
      </c>
      <c r="C50">
        <v>49</v>
      </c>
    </row>
    <row r="51" spans="1:3" x14ac:dyDescent="0.3">
      <c r="A51">
        <v>1212</v>
      </c>
      <c r="C51">
        <v>50</v>
      </c>
    </row>
    <row r="52" spans="1:3" x14ac:dyDescent="0.3">
      <c r="A52">
        <v>10933</v>
      </c>
      <c r="C52">
        <v>51</v>
      </c>
    </row>
    <row r="53" spans="1:3" x14ac:dyDescent="0.3">
      <c r="A53">
        <v>10988</v>
      </c>
      <c r="C53">
        <v>52</v>
      </c>
    </row>
    <row r="54" spans="1:3" x14ac:dyDescent="0.3">
      <c r="A54">
        <v>3243</v>
      </c>
      <c r="C54">
        <v>53</v>
      </c>
    </row>
    <row r="55" spans="1:3" x14ac:dyDescent="0.3">
      <c r="A55">
        <v>10380</v>
      </c>
      <c r="C55">
        <v>54</v>
      </c>
    </row>
    <row r="56" spans="1:3" x14ac:dyDescent="0.3">
      <c r="A56">
        <v>1828</v>
      </c>
      <c r="C56">
        <v>55</v>
      </c>
    </row>
    <row r="57" spans="1:3" x14ac:dyDescent="0.3">
      <c r="A57">
        <v>4146</v>
      </c>
      <c r="C57">
        <v>56</v>
      </c>
    </row>
    <row r="58" spans="1:3" x14ac:dyDescent="0.3">
      <c r="A58">
        <v>3019</v>
      </c>
      <c r="C58">
        <v>57</v>
      </c>
    </row>
    <row r="59" spans="1:3" x14ac:dyDescent="0.3">
      <c r="A59">
        <v>2479</v>
      </c>
      <c r="C59">
        <v>58</v>
      </c>
    </row>
    <row r="60" spans="1:3" x14ac:dyDescent="0.3">
      <c r="A60">
        <v>2122</v>
      </c>
      <c r="C60">
        <v>59</v>
      </c>
    </row>
    <row r="61" spans="1:3" x14ac:dyDescent="0.3">
      <c r="A61">
        <v>5577</v>
      </c>
      <c r="C61">
        <v>60</v>
      </c>
    </row>
    <row r="62" spans="1:3" x14ac:dyDescent="0.3">
      <c r="A62">
        <v>699</v>
      </c>
      <c r="C62">
        <v>61</v>
      </c>
    </row>
    <row r="63" spans="1:3" x14ac:dyDescent="0.3">
      <c r="A63">
        <v>4164</v>
      </c>
      <c r="C63">
        <v>62</v>
      </c>
    </row>
    <row r="64" spans="1:3" x14ac:dyDescent="0.3">
      <c r="A64">
        <v>11000</v>
      </c>
      <c r="C64">
        <v>63</v>
      </c>
    </row>
    <row r="65" spans="1:3" x14ac:dyDescent="0.3">
      <c r="A65">
        <v>0</v>
      </c>
      <c r="C65">
        <v>64</v>
      </c>
    </row>
    <row r="66" spans="1:3" x14ac:dyDescent="0.3">
      <c r="C66">
        <v>65</v>
      </c>
    </row>
    <row r="67" spans="1:3" x14ac:dyDescent="0.3">
      <c r="C67">
        <v>66</v>
      </c>
    </row>
    <row r="68" spans="1:3" x14ac:dyDescent="0.3">
      <c r="C68">
        <v>67</v>
      </c>
    </row>
    <row r="69" spans="1:3" x14ac:dyDescent="0.3">
      <c r="C69">
        <v>68</v>
      </c>
    </row>
    <row r="70" spans="1:3" x14ac:dyDescent="0.3">
      <c r="C70">
        <v>69</v>
      </c>
    </row>
    <row r="71" spans="1:3" x14ac:dyDescent="0.3">
      <c r="C71">
        <v>70</v>
      </c>
    </row>
    <row r="72" spans="1:3" x14ac:dyDescent="0.3">
      <c r="C72">
        <v>71</v>
      </c>
    </row>
    <row r="73" spans="1:3" x14ac:dyDescent="0.3">
      <c r="C73">
        <v>72</v>
      </c>
    </row>
    <row r="74" spans="1:3" x14ac:dyDescent="0.3">
      <c r="C74">
        <v>73</v>
      </c>
    </row>
    <row r="75" spans="1:3" x14ac:dyDescent="0.3">
      <c r="C75">
        <v>74</v>
      </c>
    </row>
    <row r="76" spans="1:3" x14ac:dyDescent="0.3">
      <c r="C76">
        <v>75</v>
      </c>
    </row>
    <row r="77" spans="1:3" x14ac:dyDescent="0.3">
      <c r="C77">
        <v>76</v>
      </c>
    </row>
    <row r="78" spans="1:3" x14ac:dyDescent="0.3">
      <c r="C78">
        <v>77</v>
      </c>
    </row>
    <row r="79" spans="1:3" x14ac:dyDescent="0.3">
      <c r="C79" t="s">
        <v>695</v>
      </c>
    </row>
    <row r="80" spans="1:3" x14ac:dyDescent="0.3">
      <c r="C80" t="s">
        <v>696</v>
      </c>
    </row>
    <row r="81" spans="3:3" x14ac:dyDescent="0.3">
      <c r="C81" t="s">
        <v>697</v>
      </c>
    </row>
    <row r="82" spans="3:3" x14ac:dyDescent="0.3">
      <c r="C82" t="s">
        <v>698</v>
      </c>
    </row>
    <row r="83" spans="3:3" x14ac:dyDescent="0.3">
      <c r="C83" t="s">
        <v>699</v>
      </c>
    </row>
    <row r="84" spans="3:3" x14ac:dyDescent="0.3">
      <c r="C84" t="s">
        <v>700</v>
      </c>
    </row>
    <row r="85" spans="3:3" x14ac:dyDescent="0.3">
      <c r="C85" t="s">
        <v>701</v>
      </c>
    </row>
    <row r="86" spans="3:3" x14ac:dyDescent="0.3">
      <c r="C86" t="s">
        <v>702</v>
      </c>
    </row>
    <row r="87" spans="3:3" x14ac:dyDescent="0.3">
      <c r="C87" t="s">
        <v>703</v>
      </c>
    </row>
    <row r="88" spans="3:3" x14ac:dyDescent="0.3">
      <c r="C88" t="s">
        <v>704</v>
      </c>
    </row>
    <row r="89" spans="3:3" x14ac:dyDescent="0.3">
      <c r="C89" t="s">
        <v>705</v>
      </c>
    </row>
    <row r="90" spans="3:3" x14ac:dyDescent="0.3">
      <c r="C90" t="s">
        <v>706</v>
      </c>
    </row>
    <row r="91" spans="3:3" x14ac:dyDescent="0.3">
      <c r="C91" t="s">
        <v>707</v>
      </c>
    </row>
  </sheetData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DC64-8D18-4FF9-AC14-063B14B33E28}">
  <dimension ref="A1:AB33"/>
  <sheetViews>
    <sheetView topLeftCell="K1" zoomScale="92" workbookViewId="0">
      <selection activeCell="AB3" sqref="AB3:AB20"/>
    </sheetView>
  </sheetViews>
  <sheetFormatPr defaultRowHeight="14.4" x14ac:dyDescent="0.3"/>
  <cols>
    <col min="1" max="1" width="12.77734375" bestFit="1" customWidth="1"/>
    <col min="2" max="2" width="12.88671875" bestFit="1" customWidth="1"/>
    <col min="3" max="3" width="5.6640625" bestFit="1" customWidth="1"/>
    <col min="4" max="4" width="12.33203125" bestFit="1" customWidth="1"/>
    <col min="5" max="5" width="14" bestFit="1" customWidth="1"/>
    <col min="6" max="6" width="7.88671875" bestFit="1" customWidth="1"/>
    <col min="7" max="7" width="7.21875" bestFit="1" customWidth="1"/>
    <col min="8" max="8" width="7.109375" bestFit="1" customWidth="1"/>
    <col min="9" max="9" width="5.5546875" bestFit="1" customWidth="1"/>
    <col min="10" max="10" width="7.88671875" bestFit="1" customWidth="1"/>
    <col min="11" max="11" width="13" bestFit="1" customWidth="1"/>
    <col min="12" max="12" width="18.5546875" bestFit="1" customWidth="1"/>
    <col min="13" max="13" width="11.88671875" bestFit="1" customWidth="1"/>
    <col min="14" max="14" width="6.33203125" bestFit="1" customWidth="1"/>
    <col min="15" max="15" width="12.6640625" bestFit="1" customWidth="1"/>
    <col min="16" max="16" width="18.77734375" bestFit="1" customWidth="1"/>
    <col min="17" max="17" width="10.77734375" bestFit="1" customWidth="1"/>
    <col min="18" max="18" width="5.5546875" bestFit="1" customWidth="1"/>
    <col min="19" max="19" width="14.88671875" bestFit="1" customWidth="1"/>
    <col min="20" max="20" width="9.77734375" bestFit="1" customWidth="1"/>
    <col min="28" max="28" width="10.109375" bestFit="1" customWidth="1"/>
  </cols>
  <sheetData>
    <row r="1" spans="1:28" x14ac:dyDescent="0.3">
      <c r="A1">
        <v>60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resutaten")</f>
        <v>Joep</v>
      </c>
      <c r="B3">
        <v>16</v>
      </c>
      <c r="C3" t="str">
        <v>B2</v>
      </c>
      <c r="D3">
        <v>60</v>
      </c>
      <c r="E3" t="str">
        <v>H</v>
      </c>
      <c r="F3" t="str">
        <v>false</v>
      </c>
      <c r="G3" t="str">
        <v>true</v>
      </c>
      <c r="H3" t="str">
        <v>false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20</v>
      </c>
      <c r="O3">
        <v>3</v>
      </c>
      <c r="P3">
        <v>5</v>
      </c>
      <c r="Q3">
        <v>70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3</v>
      </c>
      <c r="Y3">
        <f>SUM($N$3:$P$3)</f>
        <v>28</v>
      </c>
      <c r="Z3" s="118" t="s">
        <v>548</v>
      </c>
      <c r="AA3" s="118"/>
      <c r="AB3">
        <f>IF(B3,SUM(N3:P3),"")</f>
        <v>28</v>
      </c>
    </row>
    <row r="4" spans="1:28" x14ac:dyDescent="0.3">
      <c r="A4" t="str">
        <v>AA</v>
      </c>
      <c r="B4">
        <v>28</v>
      </c>
      <c r="C4" t="str">
        <v>R2</v>
      </c>
      <c r="D4">
        <v>60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1</v>
      </c>
      <c r="O4">
        <v>3</v>
      </c>
      <c r="P4">
        <v>15</v>
      </c>
      <c r="Q4">
        <v>63</v>
      </c>
      <c r="R4" t="str">
        <v>false</v>
      </c>
      <c r="S4" t="str">
        <v>NA</v>
      </c>
      <c r="T4" t="str">
        <v>false</v>
      </c>
      <c r="U4" t="str">
        <v>false</v>
      </c>
      <c r="V4" t="str">
        <v>Calm all around, can do better didn»t do bad</v>
      </c>
      <c r="W4">
        <v>3</v>
      </c>
      <c r="Y4">
        <f>SUM($N$4:$P$4)</f>
        <v>19</v>
      </c>
      <c r="Z4" s="118"/>
      <c r="AA4" s="118"/>
      <c r="AB4">
        <f t="shared" ref="AB4:AB20" si="0">IF(B4,SUM(N4:P4),"")</f>
        <v>19</v>
      </c>
    </row>
    <row r="5" spans="1:28" x14ac:dyDescent="0.3">
      <c r="A5" t="str">
        <v>JV</v>
      </c>
      <c r="B5">
        <v>35</v>
      </c>
      <c r="C5" t="str">
        <v>R3</v>
      </c>
      <c r="D5">
        <v>60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</v>
      </c>
      <c r="R5" t="str">
        <v>false</v>
      </c>
      <c r="S5" t="str">
        <v>NA</v>
      </c>
      <c r="T5" t="str">
        <v>false</v>
      </c>
      <c r="U5" t="str">
        <v>false</v>
      </c>
      <c r="V5" t="str">
        <v xml:space="preserve">Was just roaming the field and feeding team ball badly </v>
      </c>
      <c r="W5">
        <v>2</v>
      </c>
      <c r="Y5">
        <f>SUM($N$5:$P$5)</f>
        <v>0</v>
      </c>
      <c r="Z5" s="118"/>
      <c r="AA5" s="118"/>
      <c r="AB5">
        <f t="shared" si="0"/>
        <v>0</v>
      </c>
    </row>
    <row r="6" spans="1:28" x14ac:dyDescent="0.3">
      <c r="A6" t="str">
        <v>Joep</v>
      </c>
      <c r="B6">
        <v>45</v>
      </c>
      <c r="C6" t="str">
        <v>B1</v>
      </c>
      <c r="D6">
        <v>60</v>
      </c>
      <c r="E6" t="str">
        <v>D</v>
      </c>
      <c r="F6" t="str">
        <v>false</v>
      </c>
      <c r="G6" t="str">
        <v>true</v>
      </c>
      <c r="H6" t="str">
        <v>false</v>
      </c>
      <c r="I6" t="str">
        <v>true</v>
      </c>
      <c r="J6" t="str">
        <v>NA</v>
      </c>
      <c r="K6" t="str">
        <v>false</v>
      </c>
      <c r="L6" t="str">
        <v>false</v>
      </c>
      <c r="M6" t="str">
        <v>false</v>
      </c>
      <c r="N6">
        <v>12</v>
      </c>
      <c r="O6">
        <v>0</v>
      </c>
      <c r="P6">
        <v>15</v>
      </c>
      <c r="Q6">
        <v>30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3</v>
      </c>
      <c r="Y6">
        <f>SUM($N$6:$P$6)</f>
        <v>27</v>
      </c>
      <c r="Z6" s="118"/>
      <c r="AA6" s="118"/>
      <c r="AB6">
        <f t="shared" si="0"/>
        <v>27</v>
      </c>
    </row>
    <row r="7" spans="1:28" x14ac:dyDescent="0.3">
      <c r="A7" t="str">
        <v>AA</v>
      </c>
      <c r="B7">
        <v>64</v>
      </c>
      <c r="C7" t="str">
        <v>R2</v>
      </c>
      <c r="D7">
        <v>60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false</v>
      </c>
      <c r="M7" t="str">
        <v>true</v>
      </c>
      <c r="N7">
        <v>5</v>
      </c>
      <c r="O7">
        <v>9</v>
      </c>
      <c r="P7">
        <v>30</v>
      </c>
      <c r="Q7">
        <v>45</v>
      </c>
      <c r="R7" t="str">
        <v>false</v>
      </c>
      <c r="S7" t="str">
        <v>NA</v>
      </c>
      <c r="T7" t="str">
        <v>false</v>
      </c>
      <c r="U7" t="str">
        <v>false</v>
      </c>
      <c r="V7" t="str">
        <v>Decent at everything and just calmer</v>
      </c>
      <c r="W7">
        <v>3</v>
      </c>
      <c r="Y7">
        <f>SUM($N$7:$P$7)</f>
        <v>44</v>
      </c>
      <c r="Z7" s="118"/>
      <c r="AA7" s="118"/>
      <c r="AB7">
        <f t="shared" si="0"/>
        <v>44</v>
      </c>
    </row>
    <row r="8" spans="1:28" x14ac:dyDescent="0.3">
      <c r="Y8">
        <f>SUM($N$8:$P$8)</f>
        <v>0</v>
      </c>
      <c r="Z8" s="118"/>
      <c r="AA8" s="118"/>
      <c r="AB8" t="str">
        <f t="shared" si="0"/>
        <v/>
      </c>
    </row>
    <row r="9" spans="1:28" x14ac:dyDescent="0.3">
      <c r="Y9">
        <f>SUM($N$9:$P$9)</f>
        <v>0</v>
      </c>
      <c r="Z9" s="118"/>
      <c r="AA9" s="118"/>
      <c r="AB9" t="str">
        <f t="shared" si="0"/>
        <v/>
      </c>
    </row>
    <row r="10" spans="1:28" x14ac:dyDescent="0.3">
      <c r="Y10">
        <f>SUM($N$10:$P$10)</f>
        <v>0</v>
      </c>
      <c r="Z10" s="118"/>
      <c r="AA10" s="118"/>
      <c r="AB10" t="str">
        <f t="shared" si="0"/>
        <v/>
      </c>
    </row>
    <row r="11" spans="1:28" x14ac:dyDescent="0.3">
      <c r="Y11">
        <f>SUM($N$11:$P$11)</f>
        <v>0</v>
      </c>
      <c r="Z11" s="118"/>
      <c r="AA11" s="118"/>
      <c r="AB11" t="str">
        <f t="shared" si="0"/>
        <v/>
      </c>
    </row>
    <row r="12" spans="1:28" x14ac:dyDescent="0.3">
      <c r="Y12">
        <f>SUM($N$12:$P$12)</f>
        <v>0</v>
      </c>
      <c r="Z12" s="118"/>
      <c r="AA12" s="118"/>
      <c r="AB12" t="str">
        <f t="shared" si="0"/>
        <v/>
      </c>
    </row>
    <row r="13" spans="1:28" x14ac:dyDescent="0.3">
      <c r="Y13">
        <f>SUM($N$13:$P$13)</f>
        <v>0</v>
      </c>
      <c r="Z13" s="118"/>
      <c r="AA13" s="118"/>
      <c r="AB13" t="str">
        <f t="shared" si="0"/>
        <v/>
      </c>
    </row>
    <row r="14" spans="1:28" x14ac:dyDescent="0.3">
      <c r="Y14">
        <f>SUM($N$14:$P$14)</f>
        <v>0</v>
      </c>
      <c r="Z14" s="118"/>
      <c r="AA14" s="118"/>
      <c r="AB14" t="str">
        <f t="shared" si="0"/>
        <v/>
      </c>
    </row>
    <row r="15" spans="1:28" x14ac:dyDescent="0.3">
      <c r="Y15">
        <f>SUM($N$15:$P$15)</f>
        <v>0</v>
      </c>
      <c r="Z15" s="118"/>
      <c r="AA15" s="118"/>
      <c r="AB15" t="str">
        <f>IF(B15,SUM(N15:P15),"")</f>
        <v/>
      </c>
    </row>
    <row r="16" spans="1:28" x14ac:dyDescent="0.3">
      <c r="Y16">
        <f>SUM($N$16:$P$16)</f>
        <v>0</v>
      </c>
      <c r="Z16" s="118"/>
      <c r="AA16" s="118"/>
      <c r="AB16" t="str">
        <f t="shared" si="0"/>
        <v/>
      </c>
    </row>
    <row r="17" spans="25:28" x14ac:dyDescent="0.3">
      <c r="Y17">
        <f>SUM($N$17:$P$17)</f>
        <v>0</v>
      </c>
      <c r="Z17" s="118"/>
      <c r="AA17" s="118"/>
      <c r="AB17" t="str">
        <f t="shared" si="0"/>
        <v/>
      </c>
    </row>
    <row r="18" spans="25:28" x14ac:dyDescent="0.3">
      <c r="Y18">
        <f>SUM($N$18:$P$18)</f>
        <v>0</v>
      </c>
      <c r="Z18" s="118"/>
      <c r="AA18" s="118"/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Z21">
        <f t="shared" ref="Z21:Z33" si="1">SUM(N21:P21)</f>
        <v>0</v>
      </c>
    </row>
    <row r="22" spans="25:28" x14ac:dyDescent="0.3">
      <c r="Z22">
        <f t="shared" si="1"/>
        <v>0</v>
      </c>
    </row>
    <row r="23" spans="25:28" x14ac:dyDescent="0.3">
      <c r="Z23">
        <f t="shared" si="1"/>
        <v>0</v>
      </c>
    </row>
    <row r="24" spans="25:28" x14ac:dyDescent="0.3">
      <c r="Z24">
        <f t="shared" si="1"/>
        <v>0</v>
      </c>
    </row>
    <row r="25" spans="25:28" x14ac:dyDescent="0.3">
      <c r="Z25">
        <f t="shared" si="1"/>
        <v>0</v>
      </c>
    </row>
    <row r="26" spans="25:28" x14ac:dyDescent="0.3">
      <c r="Z26">
        <f t="shared" si="1"/>
        <v>0</v>
      </c>
    </row>
    <row r="27" spans="25:28" x14ac:dyDescent="0.3">
      <c r="Z27">
        <f t="shared" si="1"/>
        <v>0</v>
      </c>
    </row>
    <row r="28" spans="25:28" x14ac:dyDescent="0.3">
      <c r="Z28">
        <f t="shared" si="1"/>
        <v>0</v>
      </c>
    </row>
    <row r="29" spans="25:28" x14ac:dyDescent="0.3">
      <c r="Z29">
        <f t="shared" si="1"/>
        <v>0</v>
      </c>
    </row>
    <row r="30" spans="25:28" x14ac:dyDescent="0.3">
      <c r="Z30">
        <f t="shared" si="1"/>
        <v>0</v>
      </c>
    </row>
    <row r="31" spans="25:28" x14ac:dyDescent="0.3">
      <c r="Z31">
        <f t="shared" si="1"/>
        <v>0</v>
      </c>
    </row>
    <row r="32" spans="25:28" x14ac:dyDescent="0.3">
      <c r="Z32">
        <f t="shared" si="1"/>
        <v>0</v>
      </c>
    </row>
    <row r="33" spans="26:26" x14ac:dyDescent="0.3">
      <c r="Z33">
        <f t="shared" si="1"/>
        <v>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64EE-DD1A-409B-9D6B-0A41976C8771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244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11">_xlfn._xlws.FILTER(Tabel1[], Tabel1[Team Number]=A1, "Geen resultaten")</f>
        <v>LeoV</v>
      </c>
      <c r="B3">
        <v>4</v>
      </c>
      <c r="C3" t="str">
        <v>R2</v>
      </c>
      <c r="D3">
        <v>244</v>
      </c>
      <c r="E3" t="str">
        <v>H</v>
      </c>
      <c r="F3" t="str">
        <v>false</v>
      </c>
      <c r="G3" t="str">
        <v>true</v>
      </c>
      <c r="H3" t="str">
        <v>false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3</v>
      </c>
      <c r="O3">
        <v>6</v>
      </c>
      <c r="P3">
        <v>20</v>
      </c>
      <c r="Q3">
        <v>36</v>
      </c>
      <c r="R3" t="str">
        <v>false</v>
      </c>
      <c r="S3" t="str">
        <v>NA</v>
      </c>
      <c r="T3" t="str">
        <v>false</v>
      </c>
      <c r="U3" t="str">
        <v>false</v>
      </c>
      <c r="V3" t="str">
        <v>Very inacuarate, messy shooting, no power. Collected slow</v>
      </c>
      <c r="W3">
        <v>3</v>
      </c>
      <c r="Y3">
        <f>SUM($N$3:$P$3)</f>
        <v>29</v>
      </c>
      <c r="AB3">
        <f>IF(B3,SUM(N3:P3),"")</f>
        <v>29</v>
      </c>
    </row>
    <row r="4" spans="1:28" x14ac:dyDescent="0.3">
      <c r="A4" t="str">
        <v>Nick</v>
      </c>
      <c r="B4">
        <v>12</v>
      </c>
      <c r="C4" t="str">
        <v>B1</v>
      </c>
      <c r="D4">
        <v>244</v>
      </c>
      <c r="E4" t="str">
        <v>H</v>
      </c>
      <c r="F4" t="str">
        <v>false</v>
      </c>
      <c r="G4" t="str">
        <v>true</v>
      </c>
      <c r="H4" t="str">
        <v>false</v>
      </c>
      <c r="I4" t="str">
        <v>true</v>
      </c>
      <c r="J4">
        <v>0</v>
      </c>
      <c r="K4" t="str">
        <v>true</v>
      </c>
      <c r="L4" t="str">
        <v>false</v>
      </c>
      <c r="M4" t="str">
        <v>false</v>
      </c>
      <c r="N4">
        <v>1</v>
      </c>
      <c r="O4">
        <v>3</v>
      </c>
      <c r="P4">
        <v>30</v>
      </c>
      <c r="Q4">
        <v>21</v>
      </c>
      <c r="R4" t="str">
        <v>false</v>
      </c>
      <c r="S4" t="str">
        <v>NA</v>
      </c>
      <c r="T4" t="str">
        <v>false</v>
      </c>
      <c r="U4" t="str">
        <v>false</v>
      </c>
      <c r="V4" t="str">
        <v>Awfull</v>
      </c>
      <c r="W4">
        <v>2</v>
      </c>
      <c r="Y4">
        <f>SUM($N$4:$P$4)</f>
        <v>34</v>
      </c>
      <c r="AB4">
        <f t="shared" ref="AB4:AB20" si="0">IF(B4,SUM(N4:P4),"")</f>
        <v>34</v>
      </c>
    </row>
    <row r="5" spans="1:28" x14ac:dyDescent="0.3">
      <c r="A5" t="str">
        <v>Joep</v>
      </c>
      <c r="B5">
        <v>27</v>
      </c>
      <c r="C5" t="str">
        <v>B2</v>
      </c>
      <c r="D5">
        <v>244</v>
      </c>
      <c r="E5" t="str">
        <v>D</v>
      </c>
      <c r="F5" t="str">
        <v>false</v>
      </c>
      <c r="G5" t="str">
        <v>true</v>
      </c>
      <c r="H5" t="str">
        <v>false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2</v>
      </c>
      <c r="O5">
        <v>0</v>
      </c>
      <c r="P5">
        <v>45</v>
      </c>
      <c r="Q5">
        <v>30</v>
      </c>
      <c r="R5" t="str">
        <v>false</v>
      </c>
      <c r="S5" t="str">
        <v>NA</v>
      </c>
      <c r="T5" t="str">
        <v>false</v>
      </c>
      <c r="U5" t="str">
        <v>false</v>
      </c>
      <c r="V5" t="str">
        <v>Intake broke</v>
      </c>
      <c r="W5">
        <v>3</v>
      </c>
      <c r="Y5">
        <f>SUM($N$5:$P$5)</f>
        <v>47</v>
      </c>
      <c r="AB5">
        <f t="shared" si="0"/>
        <v>47</v>
      </c>
    </row>
    <row r="6" spans="1:28" x14ac:dyDescent="0.3">
      <c r="A6" t="str">
        <v>Anita Karki</v>
      </c>
      <c r="B6">
        <v>33</v>
      </c>
      <c r="C6" t="str">
        <v>B1</v>
      </c>
      <c r="D6">
        <v>244</v>
      </c>
      <c r="E6" t="str">
        <v>D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</v>
      </c>
      <c r="R6" t="str">
        <v>false</v>
      </c>
      <c r="S6" t="str">
        <v>No Attempt</v>
      </c>
      <c r="T6" t="str">
        <v>true</v>
      </c>
      <c r="U6" t="str">
        <v>false</v>
      </c>
      <c r="V6">
        <v>0</v>
      </c>
      <c r="W6">
        <v>1</v>
      </c>
      <c r="Y6">
        <f>SUM($N$6:$P$6)</f>
        <v>0</v>
      </c>
      <c r="AB6">
        <f t="shared" si="0"/>
        <v>0</v>
      </c>
    </row>
    <row r="7" spans="1:28" x14ac:dyDescent="0.3">
      <c r="A7" t="str">
        <v>Yannis</v>
      </c>
      <c r="B7">
        <v>39</v>
      </c>
      <c r="C7" t="str">
        <v>B3</v>
      </c>
      <c r="D7">
        <v>244</v>
      </c>
      <c r="E7" t="str">
        <v>H</v>
      </c>
      <c r="F7" t="str">
        <v>true</v>
      </c>
      <c r="G7" t="str">
        <v>false</v>
      </c>
      <c r="H7" t="str">
        <v>false</v>
      </c>
      <c r="I7" t="str">
        <v>false</v>
      </c>
      <c r="J7">
        <v>0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3</v>
      </c>
      <c r="Y7">
        <f>SUM($N$7:$P$7)</f>
        <v>0</v>
      </c>
      <c r="AB7">
        <f t="shared" si="0"/>
        <v>0</v>
      </c>
    </row>
    <row r="8" spans="1:28" x14ac:dyDescent="0.3">
      <c r="A8" t="str">
        <v>JV</v>
      </c>
      <c r="B8">
        <v>48</v>
      </c>
      <c r="C8" t="str">
        <v>R3</v>
      </c>
      <c r="D8">
        <v>244</v>
      </c>
      <c r="E8" t="str">
        <v>H</v>
      </c>
      <c r="F8" t="str">
        <v>false</v>
      </c>
      <c r="G8" t="str">
        <v>false</v>
      </c>
      <c r="H8" t="str">
        <v>false</v>
      </c>
      <c r="I8" t="str">
        <v>false</v>
      </c>
      <c r="J8" t="str">
        <v>NA</v>
      </c>
      <c r="K8" t="str">
        <v>false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100</v>
      </c>
      <c r="R8" t="str">
        <v>false</v>
      </c>
      <c r="S8" t="str">
        <v>NA</v>
      </c>
      <c r="T8" t="str">
        <v>false</v>
      </c>
      <c r="U8" t="str">
        <v>false</v>
      </c>
      <c r="V8" t="str">
        <v>Mainly worked on feeding team balls</v>
      </c>
      <c r="W8">
        <v>4</v>
      </c>
      <c r="Y8">
        <f>SUM($N$8:$P$8)</f>
        <v>0</v>
      </c>
      <c r="AB8">
        <f t="shared" si="0"/>
        <v>0</v>
      </c>
    </row>
    <row r="9" spans="1:28" x14ac:dyDescent="0.3">
      <c r="A9" t="str">
        <v>AA</v>
      </c>
      <c r="B9">
        <v>69</v>
      </c>
      <c r="C9" t="str">
        <v>R2</v>
      </c>
      <c r="D9">
        <v>244</v>
      </c>
      <c r="E9" t="str">
        <v>H</v>
      </c>
      <c r="F9" t="str">
        <v>false</v>
      </c>
      <c r="G9" t="str">
        <v>true</v>
      </c>
      <c r="H9" t="str">
        <v>false</v>
      </c>
      <c r="I9" t="str">
        <v>true</v>
      </c>
      <c r="J9" t="str">
        <v>NA</v>
      </c>
      <c r="K9" t="str">
        <v>true</v>
      </c>
      <c r="L9" t="str">
        <v>false</v>
      </c>
      <c r="M9" t="str">
        <v>true</v>
      </c>
      <c r="N9">
        <v>2</v>
      </c>
      <c r="O9">
        <v>6</v>
      </c>
      <c r="P9">
        <v>35</v>
      </c>
      <c r="Q9">
        <v>21</v>
      </c>
      <c r="R9" t="str">
        <v>false</v>
      </c>
      <c r="S9" t="str">
        <v>NA</v>
      </c>
      <c r="T9" t="str">
        <v>false</v>
      </c>
      <c r="U9" t="str">
        <v>false</v>
      </c>
      <c r="V9" t="str">
        <v>Stayed entirely on ally side, bad shooter.</v>
      </c>
      <c r="W9">
        <v>2</v>
      </c>
      <c r="Y9">
        <f>SUM($N$9:$P$9)</f>
        <v>43</v>
      </c>
      <c r="AB9">
        <f t="shared" si="0"/>
        <v>43</v>
      </c>
    </row>
    <row r="10" spans="1:28" x14ac:dyDescent="0.3">
      <c r="A10" t="str">
        <v>BW</v>
      </c>
      <c r="B10">
        <v>78</v>
      </c>
      <c r="C10" t="str">
        <v>R1</v>
      </c>
      <c r="D10">
        <v>244</v>
      </c>
      <c r="E10" t="str">
        <v>D</v>
      </c>
      <c r="F10" t="str">
        <v>false</v>
      </c>
      <c r="G10" t="str">
        <v>true</v>
      </c>
      <c r="H10" t="str">
        <v>false</v>
      </c>
      <c r="I10" t="str">
        <v>false</v>
      </c>
      <c r="J10" t="str">
        <v>NA</v>
      </c>
      <c r="K10" t="str">
        <v>false</v>
      </c>
      <c r="L10" t="str">
        <v>false</v>
      </c>
      <c r="M10" t="str">
        <v>false</v>
      </c>
      <c r="N10">
        <v>3</v>
      </c>
      <c r="O10">
        <v>3</v>
      </c>
      <c r="P10">
        <v>0</v>
      </c>
      <c r="Q10">
        <v>40</v>
      </c>
      <c r="R10" t="str">
        <v>false</v>
      </c>
      <c r="S10" t="str">
        <v>NA</v>
      </c>
      <c r="T10" t="str">
        <v>false</v>
      </c>
      <c r="U10" t="str">
        <v>false</v>
      </c>
      <c r="V10">
        <v>0</v>
      </c>
      <c r="W10">
        <v>2</v>
      </c>
      <c r="Y10">
        <f>SUM($N$10:$P$10)</f>
        <v>6</v>
      </c>
      <c r="AB10">
        <f t="shared" si="0"/>
        <v>6</v>
      </c>
    </row>
    <row r="11" spans="1:28" x14ac:dyDescent="0.3">
      <c r="A11" t="str">
        <v>GD</v>
      </c>
      <c r="B11">
        <v>78</v>
      </c>
      <c r="C11" t="str">
        <v>R1</v>
      </c>
      <c r="D11">
        <v>244</v>
      </c>
      <c r="E11" t="str">
        <v>H</v>
      </c>
      <c r="F11" t="str">
        <v>false</v>
      </c>
      <c r="G11" t="str">
        <v>true</v>
      </c>
      <c r="H11" t="str">
        <v>false</v>
      </c>
      <c r="I11" t="str">
        <v>false</v>
      </c>
      <c r="J11">
        <v>0</v>
      </c>
      <c r="K11" t="str">
        <v>false</v>
      </c>
      <c r="L11" t="str">
        <v>false</v>
      </c>
      <c r="M11" t="str">
        <v>false</v>
      </c>
      <c r="N11">
        <v>15</v>
      </c>
      <c r="O11">
        <v>0</v>
      </c>
      <c r="P11">
        <v>0</v>
      </c>
      <c r="Q11">
        <v>100</v>
      </c>
      <c r="R11" t="str">
        <v>false</v>
      </c>
      <c r="S11" t="str">
        <v>NA</v>
      </c>
      <c r="T11" t="str">
        <v>false</v>
      </c>
      <c r="U11" t="str">
        <v>false</v>
      </c>
      <c r="V11">
        <v>0</v>
      </c>
      <c r="W11">
        <v>3</v>
      </c>
      <c r="Y11">
        <f>SUM($N$11:$P$11)</f>
        <v>15</v>
      </c>
      <c r="AB11">
        <f t="shared" si="0"/>
        <v>15</v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1135-36D6-4B30-81BF-06417115285B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288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9">_xlfn._xlws.FILTER(Tabel1[], Tabel1[Team Number]=A1, "Geen resultaten")</f>
        <v>Nick</v>
      </c>
      <c r="B3">
        <v>4</v>
      </c>
      <c r="C3" t="str">
        <v>B1</v>
      </c>
      <c r="D3">
        <v>288</v>
      </c>
      <c r="E3" t="str">
        <v>O</v>
      </c>
      <c r="F3" t="str">
        <v>false</v>
      </c>
      <c r="G3" t="str">
        <v>true</v>
      </c>
      <c r="H3" t="str">
        <v>false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3</v>
      </c>
      <c r="O3">
        <v>0</v>
      </c>
      <c r="P3">
        <v>90</v>
      </c>
      <c r="Q3">
        <v>31</v>
      </c>
      <c r="R3" t="str">
        <v>false</v>
      </c>
      <c r="S3" t="str">
        <v>NA</v>
      </c>
      <c r="T3" t="str">
        <v>false</v>
      </c>
      <c r="U3" t="str">
        <v>true</v>
      </c>
      <c r="V3" t="str">
        <v>Got stuck on top of the balls</v>
      </c>
      <c r="W3">
        <v>3</v>
      </c>
      <c r="Y3">
        <f>SUM($N$3:$P$3)</f>
        <v>93</v>
      </c>
      <c r="AB3">
        <f>IF(B3,SUM(N3:P3),"")</f>
        <v>93</v>
      </c>
    </row>
    <row r="4" spans="1:28" x14ac:dyDescent="0.3">
      <c r="A4" t="str">
        <v>Maud</v>
      </c>
      <c r="B4">
        <v>12</v>
      </c>
      <c r="C4" t="str">
        <v>R2</v>
      </c>
      <c r="D4">
        <v>288</v>
      </c>
      <c r="E4" t="str">
        <v>D</v>
      </c>
      <c r="F4" t="str">
        <v>false</v>
      </c>
      <c r="G4" t="str">
        <v>true</v>
      </c>
      <c r="H4" t="str">
        <v>false</v>
      </c>
      <c r="I4" t="str">
        <v>true</v>
      </c>
      <c r="J4" t="str">
        <v>NA</v>
      </c>
      <c r="K4" t="str">
        <v>true</v>
      </c>
      <c r="L4" t="str">
        <v>false</v>
      </c>
      <c r="M4" t="str">
        <v>true</v>
      </c>
      <c r="N4">
        <v>2</v>
      </c>
      <c r="O4">
        <v>30</v>
      </c>
      <c r="P4">
        <v>55</v>
      </c>
      <c r="Q4">
        <v>71</v>
      </c>
      <c r="R4" t="str">
        <v>false</v>
      </c>
      <c r="S4" t="str">
        <v>NA</v>
      </c>
      <c r="T4" t="str">
        <v>false</v>
      </c>
      <c r="U4" t="str">
        <v>false</v>
      </c>
      <c r="V4" t="str">
        <v>Fairly good</v>
      </c>
      <c r="W4">
        <v>4</v>
      </c>
      <c r="Y4">
        <f>SUM($N$4:$P$4)</f>
        <v>87</v>
      </c>
      <c r="AB4">
        <f t="shared" ref="AB4:AB20" si="0">IF(B4,SUM(N4:P4),"")</f>
        <v>87</v>
      </c>
    </row>
    <row r="5" spans="1:28" x14ac:dyDescent="0.3">
      <c r="A5" t="str">
        <v>JV</v>
      </c>
      <c r="B5">
        <v>21</v>
      </c>
      <c r="C5" t="str">
        <v>R3</v>
      </c>
      <c r="D5">
        <v>288</v>
      </c>
      <c r="E5" t="str">
        <v>H</v>
      </c>
      <c r="F5" t="str">
        <v>false</v>
      </c>
      <c r="G5" t="str">
        <v>true</v>
      </c>
      <c r="H5" t="str">
        <v>true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 t="str">
        <v>Mainly focused on getting the balls to their side but broke in the middle of the match.</v>
      </c>
      <c r="W5">
        <v>4</v>
      </c>
      <c r="Y5">
        <f>SUM($N$5:$P$5)</f>
        <v>0</v>
      </c>
      <c r="AB5">
        <f t="shared" si="0"/>
        <v>0</v>
      </c>
    </row>
    <row r="6" spans="1:28" x14ac:dyDescent="0.3">
      <c r="A6" t="str">
        <v xml:space="preserve">LeoV </v>
      </c>
      <c r="B6">
        <v>31</v>
      </c>
      <c r="C6" t="str">
        <v>R3</v>
      </c>
      <c r="D6">
        <v>288</v>
      </c>
      <c r="E6" t="str">
        <v>O</v>
      </c>
      <c r="F6" t="str">
        <v>false</v>
      </c>
      <c r="G6" t="str">
        <v>true</v>
      </c>
      <c r="H6" t="str">
        <v>false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73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3</v>
      </c>
      <c r="Y6">
        <f>SUM($N$6:$P$6)</f>
        <v>0</v>
      </c>
      <c r="AB6">
        <f t="shared" si="0"/>
        <v>0</v>
      </c>
    </row>
    <row r="7" spans="1:28" x14ac:dyDescent="0.3">
      <c r="A7" t="str">
        <v>JV</v>
      </c>
      <c r="B7">
        <v>38</v>
      </c>
      <c r="C7" t="str">
        <v>R3</v>
      </c>
      <c r="D7">
        <v>288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>Mostly fed team balls and did a good job at it but they got stuck on the ramp quite often.</v>
      </c>
      <c r="W7">
        <v>4</v>
      </c>
      <c r="Y7">
        <f>SUM($N$7:$P$7)</f>
        <v>0</v>
      </c>
      <c r="AB7">
        <f t="shared" si="0"/>
        <v>0</v>
      </c>
    </row>
    <row r="8" spans="1:28" x14ac:dyDescent="0.3">
      <c r="A8" t="str">
        <v>Jippe</v>
      </c>
      <c r="B8">
        <v>67</v>
      </c>
      <c r="C8" t="str">
        <v>B1</v>
      </c>
      <c r="D8">
        <v>288</v>
      </c>
      <c r="E8" t="str">
        <v>H</v>
      </c>
      <c r="F8" t="str">
        <v>true</v>
      </c>
      <c r="G8" t="str">
        <v>false</v>
      </c>
      <c r="H8" t="str">
        <v>false</v>
      </c>
      <c r="I8" t="str">
        <v>false</v>
      </c>
      <c r="J8" t="str">
        <v>No attempt</v>
      </c>
      <c r="K8" t="str">
        <v>false</v>
      </c>
      <c r="L8" t="str">
        <v>false</v>
      </c>
      <c r="M8" t="str">
        <v>false</v>
      </c>
      <c r="N8">
        <v>0</v>
      </c>
      <c r="O8">
        <v>3</v>
      </c>
      <c r="P8">
        <v>5</v>
      </c>
      <c r="Q8">
        <v>36</v>
      </c>
      <c r="R8" t="str">
        <v>true</v>
      </c>
      <c r="S8" t="str">
        <v>NA</v>
      </c>
      <c r="T8" t="str">
        <v>false</v>
      </c>
      <c r="U8" t="str">
        <v>false</v>
      </c>
      <c r="V8">
        <v>0</v>
      </c>
      <c r="W8">
        <v>3</v>
      </c>
      <c r="Y8">
        <f>SUM($N$8:$P$8)</f>
        <v>8</v>
      </c>
      <c r="AB8">
        <f t="shared" si="0"/>
        <v>8</v>
      </c>
    </row>
    <row r="9" spans="1:28" x14ac:dyDescent="0.3">
      <c r="A9" t="str">
        <v>BW</v>
      </c>
      <c r="B9">
        <v>75</v>
      </c>
      <c r="C9" t="str">
        <v>R1</v>
      </c>
      <c r="D9">
        <v>288</v>
      </c>
      <c r="E9" t="str">
        <v>D</v>
      </c>
      <c r="F9" t="str">
        <v>false</v>
      </c>
      <c r="G9" t="str">
        <v>true</v>
      </c>
      <c r="H9" t="str">
        <v>false</v>
      </c>
      <c r="I9" t="str">
        <v>false</v>
      </c>
      <c r="J9" t="str">
        <v>NA</v>
      </c>
      <c r="K9" t="str">
        <v>true</v>
      </c>
      <c r="L9" t="str">
        <v>false</v>
      </c>
      <c r="M9" t="str">
        <v>false</v>
      </c>
      <c r="N9">
        <v>0</v>
      </c>
      <c r="O9">
        <v>12</v>
      </c>
      <c r="P9">
        <v>5</v>
      </c>
      <c r="Q9">
        <v>67</v>
      </c>
      <c r="R9" t="str">
        <v>false</v>
      </c>
      <c r="S9" t="str">
        <v>NA</v>
      </c>
      <c r="T9" t="str">
        <v>false</v>
      </c>
      <c r="U9" t="str">
        <v>false</v>
      </c>
      <c r="V9">
        <v>0</v>
      </c>
      <c r="W9">
        <v>3</v>
      </c>
      <c r="Y9">
        <f>SUM($N$9:$P$9)</f>
        <v>17</v>
      </c>
      <c r="AB9">
        <f t="shared" si="0"/>
        <v>17</v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7E21-92C0-495D-AA59-967207D034FC}">
  <dimension ref="A1:AB33"/>
  <sheetViews>
    <sheetView topLeftCell="O1" workbookViewId="0">
      <selection activeCell="AB3" sqref="AB3:AB20"/>
    </sheetView>
  </sheetViews>
  <sheetFormatPr defaultRowHeight="14.4" x14ac:dyDescent="0.3"/>
  <sheetData>
    <row r="1" spans="1:28" x14ac:dyDescent="0.3">
      <c r="A1">
        <v>698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Maud</v>
      </c>
      <c r="B3">
        <v>23</v>
      </c>
      <c r="C3" t="str">
        <v>B2</v>
      </c>
      <c r="D3">
        <v>698</v>
      </c>
      <c r="E3" t="str">
        <v>H</v>
      </c>
      <c r="F3" t="str">
        <v>false</v>
      </c>
      <c r="G3" t="str">
        <v>true</v>
      </c>
      <c r="H3" t="str">
        <v>true</v>
      </c>
      <c r="I3" t="str">
        <v>false</v>
      </c>
      <c r="J3">
        <v>0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true</v>
      </c>
      <c r="U3" t="str">
        <v>false</v>
      </c>
      <c r="V3" t="str">
        <v>During auto weird thing with intake. Bumper fell off robot and died</v>
      </c>
      <c r="W3">
        <v>3</v>
      </c>
      <c r="Y3">
        <f>SUM($N$3:$P$3)</f>
        <v>0</v>
      </c>
      <c r="AB3">
        <f>IF(B3,SUM(N3:P3),"")</f>
        <v>0</v>
      </c>
    </row>
    <row r="4" spans="1:28" x14ac:dyDescent="0.3">
      <c r="A4" t="str">
        <v>GDp</v>
      </c>
      <c r="B4">
        <v>32</v>
      </c>
      <c r="C4" t="str">
        <v>R1</v>
      </c>
      <c r="D4">
        <v>698</v>
      </c>
      <c r="E4" t="str">
        <v>D</v>
      </c>
      <c r="F4" t="str">
        <v>false</v>
      </c>
      <c r="G4" t="str">
        <v>true</v>
      </c>
      <c r="H4" t="str">
        <v>false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30</v>
      </c>
      <c r="O4">
        <v>0</v>
      </c>
      <c r="P4">
        <v>0</v>
      </c>
      <c r="Q4">
        <v>67</v>
      </c>
      <c r="R4" t="str">
        <v>true</v>
      </c>
      <c r="S4" t="str">
        <v>NA</v>
      </c>
      <c r="T4" t="str">
        <v>false</v>
      </c>
      <c r="U4" t="str">
        <v>false</v>
      </c>
      <c r="V4" t="str">
        <v>Shot fast</v>
      </c>
      <c r="W4">
        <v>4</v>
      </c>
      <c r="Y4">
        <f>SUM($N$4:$P$4)</f>
        <v>30</v>
      </c>
      <c r="AB4">
        <f t="shared" ref="AB4:AB20" si="0">IF(B4,SUM(N4:P4),"")</f>
        <v>30</v>
      </c>
    </row>
    <row r="5" spans="1:28" x14ac:dyDescent="0.3">
      <c r="A5" t="str">
        <v>GD</v>
      </c>
      <c r="B5">
        <v>57</v>
      </c>
      <c r="C5" t="str">
        <v>R1</v>
      </c>
      <c r="D5">
        <v>698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false</v>
      </c>
      <c r="L5" t="str">
        <v>false</v>
      </c>
      <c r="M5" t="str">
        <v>false</v>
      </c>
      <c r="N5">
        <v>30</v>
      </c>
      <c r="O5">
        <v>0</v>
      </c>
      <c r="P5">
        <v>0</v>
      </c>
      <c r="Q5">
        <v>77</v>
      </c>
      <c r="R5" t="str">
        <v>true</v>
      </c>
      <c r="S5" t="str">
        <v>NA</v>
      </c>
      <c r="T5" t="str">
        <v>false</v>
      </c>
      <c r="U5" t="str">
        <v>false</v>
      </c>
      <c r="V5">
        <v>0</v>
      </c>
      <c r="W5">
        <v>3</v>
      </c>
      <c r="Y5">
        <f>SUM($N$5:$P$5)</f>
        <v>30</v>
      </c>
      <c r="AB5">
        <f t="shared" si="0"/>
        <v>30</v>
      </c>
    </row>
    <row r="6" spans="1:28" x14ac:dyDescent="0.3">
      <c r="A6" t="str">
        <v>JV</v>
      </c>
      <c r="B6">
        <v>68</v>
      </c>
      <c r="C6" t="str">
        <v>R3</v>
      </c>
      <c r="D6">
        <v>698</v>
      </c>
      <c r="E6" t="str">
        <v>H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Didn't try svkreing was just on the side lines for the most of it doing nothing.</v>
      </c>
      <c r="W6">
        <v>2</v>
      </c>
      <c r="Y6">
        <f>SUM($N$6:$P$6)</f>
        <v>0</v>
      </c>
      <c r="AB6">
        <f t="shared" si="0"/>
        <v>0</v>
      </c>
    </row>
    <row r="7" spans="1:28" x14ac:dyDescent="0.3">
      <c r="A7" t="str">
        <v>JV</v>
      </c>
      <c r="B7">
        <v>78</v>
      </c>
      <c r="C7" t="str">
        <v>R3</v>
      </c>
      <c r="D7">
        <v>698</v>
      </c>
      <c r="E7" t="str">
        <v>H</v>
      </c>
      <c r="F7" t="str">
        <v>false</v>
      </c>
      <c r="G7" t="str">
        <v>true</v>
      </c>
      <c r="H7" t="str">
        <v>true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12</v>
      </c>
      <c r="O7">
        <v>0</v>
      </c>
      <c r="P7">
        <v>0</v>
      </c>
      <c r="Q7">
        <v>87</v>
      </c>
      <c r="R7" t="str">
        <v>false</v>
      </c>
      <c r="S7" t="str">
        <v>NA</v>
      </c>
      <c r="T7" t="str">
        <v>false</v>
      </c>
      <c r="U7" t="str">
        <v>false</v>
      </c>
      <c r="V7" t="str">
        <v>Focused on basic offense also got pushed around abit</v>
      </c>
      <c r="W7">
        <v>4</v>
      </c>
      <c r="Y7">
        <f>SUM($N$7:$P$7)</f>
        <v>12</v>
      </c>
      <c r="AB7">
        <f t="shared" si="0"/>
        <v>12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69C0-153F-483C-9E3C-13783EE05514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987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Nick</v>
      </c>
      <c r="B3">
        <v>3</v>
      </c>
      <c r="C3" t="str">
        <v>R3</v>
      </c>
      <c r="D3">
        <v>987</v>
      </c>
      <c r="E3" t="str">
        <v>O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false</v>
      </c>
      <c r="L3" t="str">
        <v>false</v>
      </c>
      <c r="M3" t="str">
        <v>false</v>
      </c>
      <c r="N3">
        <v>4</v>
      </c>
      <c r="O3">
        <v>18</v>
      </c>
      <c r="P3">
        <v>140</v>
      </c>
      <c r="Q3">
        <v>42</v>
      </c>
      <c r="R3" t="str">
        <v>false</v>
      </c>
      <c r="S3" t="str">
        <v>NA</v>
      </c>
      <c r="T3" t="str">
        <v>true</v>
      </c>
      <c r="U3" t="str">
        <v>false</v>
      </c>
      <c r="V3" t="str">
        <v>Great passing, fast handeling, can go over and under, shoots fast</v>
      </c>
      <c r="W3">
        <v>4</v>
      </c>
      <c r="Y3">
        <f>SUM($N$3:$P$3)</f>
        <v>162</v>
      </c>
      <c r="AB3">
        <f>IF(B3,SUM(N3:P3),"")</f>
        <v>162</v>
      </c>
    </row>
    <row r="4" spans="1:28" x14ac:dyDescent="0.3">
      <c r="A4" t="str">
        <v>Yannis</v>
      </c>
      <c r="B4">
        <v>25</v>
      </c>
      <c r="C4" t="str">
        <v>B3</v>
      </c>
      <c r="D4">
        <v>987</v>
      </c>
      <c r="E4" t="str">
        <v>O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60</v>
      </c>
      <c r="Q4">
        <v>82</v>
      </c>
      <c r="R4" t="str">
        <v>false</v>
      </c>
      <c r="S4" t="str">
        <v>NA</v>
      </c>
      <c r="T4" t="str">
        <v>false</v>
      </c>
      <c r="U4" t="str">
        <v>false</v>
      </c>
      <c r="V4" t="str">
        <v>Very hard to count balls, may be inaccurate.</v>
      </c>
      <c r="W4">
        <v>4</v>
      </c>
      <c r="Y4">
        <f>SUM($N$4:$P$4)</f>
        <v>60</v>
      </c>
      <c r="AB4">
        <f t="shared" ref="AB4:AB20" si="0">IF(B4,SUM(N4:P4),"")</f>
        <v>60</v>
      </c>
    </row>
    <row r="5" spans="1:28" x14ac:dyDescent="0.3">
      <c r="A5" t="str">
        <v>AA</v>
      </c>
      <c r="B5">
        <v>40</v>
      </c>
      <c r="C5" t="str">
        <v>R2</v>
      </c>
      <c r="D5">
        <v>987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false</v>
      </c>
      <c r="S5">
        <v>2</v>
      </c>
      <c r="T5" t="str">
        <v>false</v>
      </c>
      <c r="U5" t="str">
        <v>false</v>
      </c>
      <c r="V5" t="str">
        <v>Cant pick up butt sdnt,</v>
      </c>
      <c r="W5">
        <v>0</v>
      </c>
      <c r="Y5">
        <f>SUM($N$5:$P$5)</f>
        <v>0</v>
      </c>
      <c r="AB5">
        <f t="shared" si="0"/>
        <v>0</v>
      </c>
    </row>
    <row r="6" spans="1:28" x14ac:dyDescent="0.3">
      <c r="A6" t="str">
        <v>GD</v>
      </c>
      <c r="B6">
        <v>48</v>
      </c>
      <c r="C6" t="str">
        <v>R1</v>
      </c>
      <c r="D6">
        <v>987</v>
      </c>
      <c r="E6" t="str">
        <v>H</v>
      </c>
      <c r="F6" t="str">
        <v>false</v>
      </c>
      <c r="G6" t="str">
        <v>true</v>
      </c>
      <c r="H6" t="str">
        <v>true</v>
      </c>
      <c r="I6" t="str">
        <v>false</v>
      </c>
      <c r="J6" t="str">
        <v>No attempt</v>
      </c>
      <c r="K6" t="str">
        <v>false</v>
      </c>
      <c r="L6" t="str">
        <v>false</v>
      </c>
      <c r="M6" t="str">
        <v>false</v>
      </c>
      <c r="N6">
        <v>24</v>
      </c>
      <c r="O6">
        <v>0</v>
      </c>
      <c r="P6">
        <v>0</v>
      </c>
      <c r="Q6">
        <v>64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4</v>
      </c>
      <c r="Y6">
        <f>SUM($N$6:$P$6)</f>
        <v>24</v>
      </c>
      <c r="AB6">
        <f t="shared" si="0"/>
        <v>24</v>
      </c>
    </row>
    <row r="7" spans="1:28" x14ac:dyDescent="0.3">
      <c r="A7" t="str">
        <v>Nick</v>
      </c>
      <c r="B7">
        <v>64</v>
      </c>
      <c r="C7" t="str">
        <v>B3</v>
      </c>
      <c r="D7">
        <v>987</v>
      </c>
      <c r="E7" t="str">
        <v>O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5</v>
      </c>
      <c r="O7">
        <v>24</v>
      </c>
      <c r="P7">
        <v>90</v>
      </c>
      <c r="Q7">
        <v>61</v>
      </c>
      <c r="R7" t="str">
        <v>false</v>
      </c>
      <c r="S7" t="str">
        <v>NA</v>
      </c>
      <c r="T7" t="str">
        <v>false</v>
      </c>
      <c r="U7" t="str">
        <v>false</v>
      </c>
      <c r="V7" t="str">
        <v>Got stuck on balls once, defended</v>
      </c>
      <c r="W7">
        <v>4</v>
      </c>
      <c r="Y7">
        <f>SUM($N$7:$P$7)</f>
        <v>119</v>
      </c>
      <c r="AB7">
        <f t="shared" si="0"/>
        <v>119</v>
      </c>
    </row>
    <row r="8" spans="1:28" x14ac:dyDescent="0.3">
      <c r="A8" t="str">
        <v>BW</v>
      </c>
      <c r="B8">
        <v>72</v>
      </c>
      <c r="C8" t="str">
        <v>R1</v>
      </c>
      <c r="D8">
        <v>987</v>
      </c>
      <c r="E8" t="str">
        <v>O</v>
      </c>
      <c r="F8" t="str">
        <v>false</v>
      </c>
      <c r="G8" t="str">
        <v>false</v>
      </c>
      <c r="H8" t="str">
        <v>true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2</v>
      </c>
      <c r="O8">
        <v>15</v>
      </c>
      <c r="P8">
        <v>35</v>
      </c>
      <c r="Q8">
        <v>80</v>
      </c>
      <c r="R8" t="str">
        <v>false</v>
      </c>
      <c r="S8">
        <v>2</v>
      </c>
      <c r="T8" t="str">
        <v>false</v>
      </c>
      <c r="U8" t="str">
        <v>false</v>
      </c>
      <c r="V8">
        <v>0</v>
      </c>
      <c r="W8">
        <v>5</v>
      </c>
      <c r="Y8">
        <f>SUM($N$8:$P$8)</f>
        <v>52</v>
      </c>
      <c r="AB8">
        <f t="shared" si="0"/>
        <v>52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05E5-C11C-4754-B01E-A098C120E87D}">
  <dimension ref="A1:AB33"/>
  <sheetViews>
    <sheetView topLeftCell="S1" workbookViewId="0">
      <selection activeCell="AB3" sqref="AB3:AB20"/>
    </sheetView>
  </sheetViews>
  <sheetFormatPr defaultRowHeight="14.4" x14ac:dyDescent="0.3"/>
  <sheetData>
    <row r="1" spans="1:28" x14ac:dyDescent="0.3">
      <c r="A1">
        <v>991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10">_xlfn._xlws.FILTER(Tabel1[], Tabel1[Team Number]=A1, "Geen resultaten")</f>
        <v>Nick</v>
      </c>
      <c r="B3">
        <v>2</v>
      </c>
      <c r="C3" t="str">
        <v>B1</v>
      </c>
      <c r="D3">
        <v>991</v>
      </c>
      <c r="E3" t="str">
        <v>O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true</v>
      </c>
      <c r="L3" t="str">
        <v>true</v>
      </c>
      <c r="M3" t="str">
        <v>false</v>
      </c>
      <c r="N3">
        <v>1</v>
      </c>
      <c r="O3">
        <v>9</v>
      </c>
      <c r="P3">
        <v>25</v>
      </c>
      <c r="Q3">
        <v>16</v>
      </c>
      <c r="R3" t="str">
        <v>false</v>
      </c>
      <c r="S3" t="str">
        <v>NA</v>
      </c>
      <c r="T3" t="str">
        <v>false</v>
      </c>
      <c r="U3" t="str">
        <v>false</v>
      </c>
      <c r="V3" t="str">
        <v>Fast, gets balls from outposts during auto, missies a lot</v>
      </c>
      <c r="W3">
        <v>4</v>
      </c>
      <c r="Y3">
        <f>SUM($N$3:$P$3)</f>
        <v>35</v>
      </c>
      <c r="AB3">
        <f>IF(B3,SUM(N3:P3),"")</f>
        <v>35</v>
      </c>
    </row>
    <row r="4" spans="1:28" x14ac:dyDescent="0.3">
      <c r="A4" t="str">
        <v>Jippe</v>
      </c>
      <c r="B4">
        <v>12</v>
      </c>
      <c r="C4" t="str">
        <v>B2</v>
      </c>
      <c r="D4">
        <v>991</v>
      </c>
      <c r="E4" t="str">
        <v>O</v>
      </c>
      <c r="F4" t="str">
        <v>false</v>
      </c>
      <c r="G4" t="str">
        <v>true</v>
      </c>
      <c r="H4" t="str">
        <v>true</v>
      </c>
      <c r="I4" t="str">
        <v>true</v>
      </c>
      <c r="J4" t="str">
        <v>No attempt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70</v>
      </c>
      <c r="Q4">
        <v>62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4</v>
      </c>
      <c r="Y4">
        <f>SUM($N$4:$P$4)</f>
        <v>70</v>
      </c>
      <c r="AB4">
        <f t="shared" ref="AB4:AB20" si="0">IF(B4,SUM(N4:P4),"")</f>
        <v>70</v>
      </c>
    </row>
    <row r="5" spans="1:28" x14ac:dyDescent="0.3">
      <c r="A5" t="str">
        <v>BW</v>
      </c>
      <c r="B5">
        <v>25</v>
      </c>
      <c r="C5" t="str">
        <v>R1</v>
      </c>
      <c r="D5">
        <v>991</v>
      </c>
      <c r="E5" t="str">
        <v>O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true</v>
      </c>
      <c r="M5" t="str">
        <v>false</v>
      </c>
      <c r="N5">
        <v>30</v>
      </c>
      <c r="O5">
        <v>18</v>
      </c>
      <c r="P5">
        <v>25</v>
      </c>
      <c r="Q5">
        <v>90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5</v>
      </c>
      <c r="Y5">
        <f>SUM($N$5:$P$5)</f>
        <v>73</v>
      </c>
      <c r="AB5">
        <f t="shared" si="0"/>
        <v>73</v>
      </c>
    </row>
    <row r="6" spans="1:28" x14ac:dyDescent="0.3">
      <c r="A6" t="str">
        <v>AA</v>
      </c>
      <c r="B6">
        <v>34</v>
      </c>
      <c r="C6" t="str">
        <v>R2</v>
      </c>
      <c r="D6">
        <v>991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2</v>
      </c>
      <c r="O6">
        <v>3</v>
      </c>
      <c r="P6">
        <v>20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 xml:space="preserve">Dead for big time so would»ve done better </v>
      </c>
      <c r="W6">
        <v>3</v>
      </c>
      <c r="Y6">
        <f>SUM($N$6:$P$6)</f>
        <v>25</v>
      </c>
      <c r="AB6">
        <f t="shared" si="0"/>
        <v>25</v>
      </c>
    </row>
    <row r="7" spans="1:28" x14ac:dyDescent="0.3">
      <c r="A7" t="str">
        <v>AA</v>
      </c>
      <c r="B7">
        <v>43</v>
      </c>
      <c r="C7" t="str">
        <v>R2</v>
      </c>
      <c r="D7">
        <v>991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1</v>
      </c>
      <c r="O7">
        <v>3</v>
      </c>
      <c r="P7">
        <v>25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>All around good bot and teammates, just no defending</v>
      </c>
      <c r="W7">
        <v>5</v>
      </c>
      <c r="Y7">
        <f>SUM($N$7:$P$7)</f>
        <v>29</v>
      </c>
      <c r="AB7">
        <f t="shared" si="0"/>
        <v>29</v>
      </c>
    </row>
    <row r="8" spans="1:28" x14ac:dyDescent="0.3">
      <c r="A8" t="str">
        <v>Lex vG</v>
      </c>
      <c r="B8">
        <v>55</v>
      </c>
      <c r="C8" t="str">
        <v>B3</v>
      </c>
      <c r="D8">
        <v>991</v>
      </c>
      <c r="E8" t="str">
        <v>D</v>
      </c>
      <c r="F8" t="str">
        <v>false</v>
      </c>
      <c r="G8" t="str">
        <v>true</v>
      </c>
      <c r="H8" t="str">
        <v>true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0</v>
      </c>
      <c r="O8">
        <v>0</v>
      </c>
      <c r="P8">
        <v>15</v>
      </c>
      <c r="Q8">
        <v>87</v>
      </c>
      <c r="R8" t="str">
        <v>false</v>
      </c>
      <c r="S8" t="str">
        <v>NA</v>
      </c>
      <c r="T8" t="str">
        <v>false</v>
      </c>
      <c r="U8" t="str">
        <v>false</v>
      </c>
      <c r="V8" t="str">
        <v>Turret acting up</v>
      </c>
      <c r="W8">
        <v>3</v>
      </c>
      <c r="Y8">
        <f>SUM($N$8:$P$8)</f>
        <v>15</v>
      </c>
      <c r="AB8">
        <f t="shared" si="0"/>
        <v>15</v>
      </c>
    </row>
    <row r="9" spans="1:28" x14ac:dyDescent="0.3">
      <c r="A9" t="str">
        <v>JV</v>
      </c>
      <c r="B9">
        <v>63</v>
      </c>
      <c r="C9" t="str">
        <v>R3</v>
      </c>
      <c r="D9">
        <v>991</v>
      </c>
      <c r="E9" t="str">
        <v>H</v>
      </c>
      <c r="F9" t="str">
        <v>false</v>
      </c>
      <c r="G9" t="str">
        <v>true</v>
      </c>
      <c r="H9" t="str">
        <v>true</v>
      </c>
      <c r="I9" t="str">
        <v>true</v>
      </c>
      <c r="J9" t="str">
        <v>NA</v>
      </c>
      <c r="K9" t="str">
        <v>true</v>
      </c>
      <c r="L9" t="str">
        <v>false</v>
      </c>
      <c r="M9" t="str">
        <v>false</v>
      </c>
      <c r="N9">
        <v>63</v>
      </c>
      <c r="O9">
        <v>0</v>
      </c>
      <c r="P9">
        <v>0</v>
      </c>
      <c r="Q9">
        <v>93</v>
      </c>
      <c r="R9" t="str">
        <v>false</v>
      </c>
      <c r="S9" t="str">
        <v>NA</v>
      </c>
      <c r="T9" t="str">
        <v>false</v>
      </c>
      <c r="U9" t="str">
        <v>false</v>
      </c>
      <c r="V9" t="str">
        <v>Switched between ball feeding and offense.</v>
      </c>
      <c r="W9">
        <v>5</v>
      </c>
      <c r="Y9">
        <f>SUM($N$9:$P$9)</f>
        <v>63</v>
      </c>
      <c r="AB9">
        <f t="shared" si="0"/>
        <v>63</v>
      </c>
    </row>
    <row r="10" spans="1:28" x14ac:dyDescent="0.3">
      <c r="A10" t="str">
        <v>Jippe</v>
      </c>
      <c r="B10">
        <v>69</v>
      </c>
      <c r="C10" t="str">
        <v>B1</v>
      </c>
      <c r="D10">
        <v>991</v>
      </c>
      <c r="E10" t="str">
        <v>O</v>
      </c>
      <c r="F10" t="str">
        <v>false</v>
      </c>
      <c r="G10" t="str">
        <v>true</v>
      </c>
      <c r="H10" t="str">
        <v>true</v>
      </c>
      <c r="I10" t="str">
        <v>true</v>
      </c>
      <c r="J10" t="str">
        <v>No attempt</v>
      </c>
      <c r="K10" t="str">
        <v>true</v>
      </c>
      <c r="L10" t="str">
        <v>false</v>
      </c>
      <c r="M10" t="str">
        <v>false</v>
      </c>
      <c r="N10">
        <v>0</v>
      </c>
      <c r="O10">
        <v>3</v>
      </c>
      <c r="P10">
        <v>55</v>
      </c>
      <c r="Q10">
        <v>77</v>
      </c>
      <c r="R10" t="str">
        <v>false</v>
      </c>
      <c r="S10" t="str">
        <v>NA</v>
      </c>
      <c r="T10" t="str">
        <v>false</v>
      </c>
      <c r="U10" t="str">
        <v>false</v>
      </c>
      <c r="V10" t="str">
        <v>Broke their intake on the climbing structure</v>
      </c>
      <c r="W10">
        <v>5</v>
      </c>
      <c r="Y10">
        <f>SUM($N$10:$P$10)</f>
        <v>58</v>
      </c>
      <c r="AB10">
        <f t="shared" si="0"/>
        <v>58</v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1F97-0382-4115-941F-FD35263B1D87}">
  <dimension ref="A1:AB33"/>
  <sheetViews>
    <sheetView topLeftCell="Q1" workbookViewId="0">
      <selection activeCell="AB3" sqref="AB3:AB20"/>
    </sheetView>
  </sheetViews>
  <sheetFormatPr defaultRowHeight="14.4" x14ac:dyDescent="0.3"/>
  <sheetData>
    <row r="1" spans="1:28" x14ac:dyDescent="0.3">
      <c r="A1">
        <v>996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6">_xlfn._xlws.FILTER(Tabel1[], Tabel1[Team Number]=A1, "Geen resultaten")</f>
        <v>Maud</v>
      </c>
      <c r="B3">
        <v>11</v>
      </c>
      <c r="C3" t="str">
        <v>R2</v>
      </c>
      <c r="D3">
        <v>996</v>
      </c>
      <c r="E3" t="str">
        <v>H</v>
      </c>
      <c r="F3" t="str">
        <v>true</v>
      </c>
      <c r="G3" t="str">
        <v>false</v>
      </c>
      <c r="H3" t="str">
        <v>false</v>
      </c>
      <c r="I3" t="str">
        <v>false</v>
      </c>
      <c r="J3" t="str">
        <v>No attempt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>Jippe</v>
      </c>
      <c r="B4">
        <v>28</v>
      </c>
      <c r="C4" t="str">
        <v>B3</v>
      </c>
      <c r="D4">
        <v>996</v>
      </c>
      <c r="E4" t="str">
        <v>D</v>
      </c>
      <c r="F4" t="str">
        <v>false</v>
      </c>
      <c r="G4" t="str">
        <v>false</v>
      </c>
      <c r="H4" t="str">
        <v>true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true</v>
      </c>
      <c r="S4" t="str">
        <v>NA</v>
      </c>
      <c r="T4" t="str">
        <v>false</v>
      </c>
      <c r="U4" t="str">
        <v>false</v>
      </c>
      <c r="V4">
        <v>0</v>
      </c>
      <c r="W4">
        <v>1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Joep</v>
      </c>
      <c r="B5">
        <v>44</v>
      </c>
      <c r="C5" t="str">
        <v>B1</v>
      </c>
      <c r="D5">
        <v>996</v>
      </c>
      <c r="E5" t="str">
        <v>D</v>
      </c>
      <c r="F5" t="str">
        <v>false</v>
      </c>
      <c r="G5" t="str">
        <v>false</v>
      </c>
      <c r="H5" t="str">
        <v>true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5</v>
      </c>
      <c r="Y5">
        <f>SUM($N$5:$P$5)</f>
        <v>0</v>
      </c>
      <c r="AB5">
        <f t="shared" si="0"/>
        <v>0</v>
      </c>
    </row>
    <row r="6" spans="1:28" x14ac:dyDescent="0.3">
      <c r="A6" t="str">
        <v>Jippe</v>
      </c>
      <c r="B6">
        <v>51</v>
      </c>
      <c r="C6" t="str">
        <v>B2</v>
      </c>
      <c r="D6">
        <v>996</v>
      </c>
      <c r="E6" t="str">
        <v>O</v>
      </c>
      <c r="F6" t="str">
        <v>false</v>
      </c>
      <c r="G6" t="str">
        <v>false</v>
      </c>
      <c r="H6" t="str">
        <v>false</v>
      </c>
      <c r="I6" t="str">
        <v>false</v>
      </c>
      <c r="J6" t="str">
        <v>No attempt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true</v>
      </c>
      <c r="S6" t="str">
        <v>NA</v>
      </c>
      <c r="T6" t="str">
        <v>false</v>
      </c>
      <c r="U6" t="str">
        <v>false</v>
      </c>
      <c r="V6">
        <v>0</v>
      </c>
      <c r="W6">
        <v>4</v>
      </c>
      <c r="Y6">
        <f>SUM($N$6:$P$6)</f>
        <v>0</v>
      </c>
      <c r="AB6">
        <f t="shared" si="0"/>
        <v>0</v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1C54-8938-470A-A06D-85FDAADAFCD4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1165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Nick</v>
      </c>
      <c r="B3">
        <v>5</v>
      </c>
      <c r="C3" t="str">
        <v>R3</v>
      </c>
      <c r="D3">
        <v>1165</v>
      </c>
      <c r="E3" t="str">
        <v>D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true</v>
      </c>
      <c r="U3" t="str">
        <v>false</v>
      </c>
      <c r="V3" t="str">
        <v>Only brought back balls pushing them</v>
      </c>
      <c r="W3">
        <v>3</v>
      </c>
      <c r="Y3">
        <f>SUM($N$3:$P$3)</f>
        <v>0</v>
      </c>
      <c r="AB3">
        <f>IF(B3,SUM(N3:P3),"")</f>
        <v>0</v>
      </c>
    </row>
    <row r="4" spans="1:28" x14ac:dyDescent="0.3">
      <c r="A4" t="str">
        <v>Anita Karki</v>
      </c>
      <c r="B4">
        <v>13</v>
      </c>
      <c r="C4" t="str">
        <v>B1</v>
      </c>
      <c r="D4">
        <v>1165</v>
      </c>
      <c r="E4" t="str">
        <v>D</v>
      </c>
      <c r="F4" t="str">
        <v>false</v>
      </c>
      <c r="G4" t="str">
        <v>false</v>
      </c>
      <c r="H4" t="str">
        <v>false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</v>
      </c>
      <c r="R4" t="str">
        <v>false</v>
      </c>
      <c r="S4" t="str">
        <v>NA</v>
      </c>
      <c r="T4" t="str">
        <v>false</v>
      </c>
      <c r="U4" t="str">
        <v>false</v>
      </c>
      <c r="V4" t="str">
        <v>deden dansjes en defence in eigen zone</v>
      </c>
      <c r="W4">
        <v>2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BW</v>
      </c>
      <c r="B5">
        <v>19</v>
      </c>
      <c r="C5" t="str">
        <v>R1</v>
      </c>
      <c r="D5">
        <v>1165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3</v>
      </c>
      <c r="P5">
        <v>0</v>
      </c>
      <c r="Q5">
        <v>100</v>
      </c>
      <c r="R5" t="str">
        <v>true</v>
      </c>
      <c r="S5" t="str">
        <v>NA</v>
      </c>
      <c r="T5" t="str">
        <v>false</v>
      </c>
      <c r="U5" t="str">
        <v>false</v>
      </c>
      <c r="V5" t="str">
        <v>Defended and pushed fuel to the other side.</v>
      </c>
      <c r="W5">
        <v>4</v>
      </c>
      <c r="Y5">
        <f>SUM($N$5:$P$5)</f>
        <v>3</v>
      </c>
      <c r="AB5">
        <f t="shared" si="0"/>
        <v>3</v>
      </c>
    </row>
    <row r="6" spans="1:28" x14ac:dyDescent="0.3">
      <c r="A6" t="str">
        <v>AA</v>
      </c>
      <c r="B6">
        <v>42</v>
      </c>
      <c r="C6" t="str">
        <v>R2</v>
      </c>
      <c r="D6">
        <v>1165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3</v>
      </c>
      <c r="P6">
        <v>0</v>
      </c>
      <c r="Q6">
        <v>1</v>
      </c>
      <c r="R6" t="str">
        <v>false</v>
      </c>
      <c r="S6" t="str">
        <v>NA</v>
      </c>
      <c r="T6" t="str">
        <v>false</v>
      </c>
      <c r="U6" t="str">
        <v>false</v>
      </c>
      <c r="V6" t="str">
        <v>Could»ve done better if not stuck for a time but it had time to do stuff an was slow about it</v>
      </c>
      <c r="W6">
        <v>1</v>
      </c>
      <c r="Y6">
        <f>SUM($N$6:$P$6)</f>
        <v>3</v>
      </c>
      <c r="AB6">
        <f t="shared" si="0"/>
        <v>3</v>
      </c>
    </row>
    <row r="7" spans="1:28" x14ac:dyDescent="0.3">
      <c r="A7" t="str">
        <v xml:space="preserve">LeoV </v>
      </c>
      <c r="B7">
        <v>55</v>
      </c>
      <c r="C7" t="str">
        <v>B2</v>
      </c>
      <c r="D7">
        <v>1165</v>
      </c>
      <c r="E7" t="str">
        <v>H</v>
      </c>
      <c r="F7" t="str">
        <v>false</v>
      </c>
      <c r="G7" t="str">
        <v>false</v>
      </c>
      <c r="H7" t="str">
        <v>false</v>
      </c>
      <c r="I7" t="str">
        <v>false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</v>
      </c>
      <c r="R7" t="str">
        <v>true</v>
      </c>
      <c r="S7" t="str">
        <v>NA</v>
      </c>
      <c r="T7" t="str">
        <v>false</v>
      </c>
      <c r="U7" t="str">
        <v>false</v>
      </c>
      <c r="V7">
        <v>0</v>
      </c>
      <c r="W7">
        <v>3</v>
      </c>
      <c r="Y7">
        <f>SUM($N$7:$P$7)</f>
        <v>0</v>
      </c>
      <c r="AB7">
        <f t="shared" si="0"/>
        <v>0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427C-2742-480C-AD0A-FF6E010BFA84}">
  <dimension ref="A1:AB33"/>
  <sheetViews>
    <sheetView topLeftCell="G1" workbookViewId="0">
      <selection activeCell="AB3" sqref="AB3:AB20"/>
    </sheetView>
  </sheetViews>
  <sheetFormatPr defaultRowHeight="14.4" x14ac:dyDescent="0.3"/>
  <sheetData>
    <row r="1" spans="1:28" x14ac:dyDescent="0.3">
      <c r="A1">
        <v>1212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5">_xlfn._xlws.FILTER(Tabel1[], Tabel1[Team Number]=A1, "Geen resultaten")</f>
        <v>JV</v>
      </c>
      <c r="B3">
        <v>22</v>
      </c>
      <c r="C3" t="str">
        <v>R3</v>
      </c>
      <c r="D3">
        <v>1212</v>
      </c>
      <c r="E3" t="str">
        <v>H</v>
      </c>
      <c r="F3" t="str">
        <v>false</v>
      </c>
      <c r="G3" t="str">
        <v>true</v>
      </c>
      <c r="H3" t="str">
        <v>true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3</v>
      </c>
      <c r="O3">
        <v>0</v>
      </c>
      <c r="P3">
        <v>0</v>
      </c>
      <c r="Q3">
        <v>14</v>
      </c>
      <c r="R3" t="str">
        <v>false</v>
      </c>
      <c r="S3" t="str">
        <v>NA</v>
      </c>
      <c r="T3" t="str">
        <v>false</v>
      </c>
      <c r="U3" t="str">
        <v>false</v>
      </c>
      <c r="V3" t="str">
        <v>Focused on shooting mostly and can collect a large quantity of balls.</v>
      </c>
      <c r="W3">
        <v>3</v>
      </c>
      <c r="Y3">
        <f>SUM($N$3:$P$3)</f>
        <v>3</v>
      </c>
      <c r="AB3">
        <f>IF(B3,SUM(N3:P3),"")</f>
        <v>3</v>
      </c>
    </row>
    <row r="4" spans="1:28" x14ac:dyDescent="0.3">
      <c r="A4" t="str">
        <v>Joep</v>
      </c>
      <c r="B4">
        <v>38</v>
      </c>
      <c r="C4" t="str">
        <v>B3</v>
      </c>
      <c r="D4">
        <v>1212</v>
      </c>
      <c r="E4" t="str">
        <v>H</v>
      </c>
      <c r="F4" t="str">
        <v>false</v>
      </c>
      <c r="G4" t="str">
        <v>true</v>
      </c>
      <c r="H4" t="str">
        <v>false</v>
      </c>
      <c r="I4" t="str">
        <v>true</v>
      </c>
      <c r="J4">
        <v>0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15</v>
      </c>
      <c r="Q4">
        <v>25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3</v>
      </c>
      <c r="Y4">
        <f>SUM($N$4:$P$4)</f>
        <v>15</v>
      </c>
      <c r="AB4">
        <f t="shared" ref="AB4:AB20" si="0">IF(B4,SUM(N4:P4),"")</f>
        <v>15</v>
      </c>
    </row>
    <row r="5" spans="1:28" x14ac:dyDescent="0.3">
      <c r="A5" t="str">
        <v xml:space="preserve">LeoV </v>
      </c>
      <c r="B5">
        <v>53</v>
      </c>
      <c r="C5" t="str">
        <v>B2</v>
      </c>
      <c r="D5">
        <v>1212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20</v>
      </c>
      <c r="Q5">
        <v>57</v>
      </c>
      <c r="R5" t="str">
        <v>false</v>
      </c>
      <c r="S5" t="str">
        <v>NA</v>
      </c>
      <c r="T5" t="str">
        <v>false</v>
      </c>
      <c r="U5" t="str">
        <v>true</v>
      </c>
      <c r="V5" t="str">
        <v>Faulty intake slow start</v>
      </c>
      <c r="W5">
        <v>3</v>
      </c>
      <c r="Y5">
        <f>SUM($N$5:$P$5)</f>
        <v>20</v>
      </c>
      <c r="AB5">
        <f t="shared" si="0"/>
        <v>20</v>
      </c>
    </row>
    <row r="6" spans="1:28" x14ac:dyDescent="0.3">
      <c r="Y6">
        <f>SUM($N$6:$P$6)</f>
        <v>0</v>
      </c>
      <c r="AB6" t="str">
        <f t="shared" si="0"/>
        <v/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06EC-BF06-48CE-8AC5-6343C58C471E}">
  <dimension ref="A1:AB33"/>
  <sheetViews>
    <sheetView topLeftCell="Q1" workbookViewId="0">
      <selection activeCell="AB3" sqref="AB3:AB20"/>
    </sheetView>
  </sheetViews>
  <sheetFormatPr defaultRowHeight="14.4" x14ac:dyDescent="0.3"/>
  <sheetData>
    <row r="1" spans="1:28" x14ac:dyDescent="0.3">
      <c r="A1">
        <v>1410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9">_xlfn._xlws.FILTER(Tabel1[], Tabel1[Team Number]=A1, "Geen resultaten")</f>
        <v>Maud</v>
      </c>
      <c r="B3">
        <v>9</v>
      </c>
      <c r="C3" t="str">
        <v>B3</v>
      </c>
      <c r="D3">
        <v>1410</v>
      </c>
      <c r="E3" t="str">
        <v>D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true</v>
      </c>
      <c r="S3" t="str">
        <v>NA</v>
      </c>
      <c r="T3" t="str">
        <v>false</v>
      </c>
      <c r="U3" t="str">
        <v>false</v>
      </c>
      <c r="V3" t="str">
        <v xml:space="preserve">Balls to Outpost pushing 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>LeoV</v>
      </c>
      <c r="B4">
        <v>24</v>
      </c>
      <c r="C4" t="str">
        <v>B1</v>
      </c>
      <c r="D4">
        <v>1410</v>
      </c>
      <c r="E4" t="str">
        <v>H</v>
      </c>
      <c r="F4" t="str">
        <v>false</v>
      </c>
      <c r="G4" t="str">
        <v>true</v>
      </c>
      <c r="H4" t="str">
        <v>false</v>
      </c>
      <c r="I4" t="str">
        <v>true</v>
      </c>
      <c r="J4" t="str">
        <v>NA</v>
      </c>
      <c r="K4" t="str">
        <v>true</v>
      </c>
      <c r="L4" t="str">
        <v>false</v>
      </c>
      <c r="M4" t="str">
        <v>true</v>
      </c>
      <c r="N4">
        <v>0</v>
      </c>
      <c r="O4">
        <v>3</v>
      </c>
      <c r="P4">
        <v>30</v>
      </c>
      <c r="Q4">
        <v>81</v>
      </c>
      <c r="R4" t="str">
        <v>false</v>
      </c>
      <c r="S4" t="str">
        <v>NA</v>
      </c>
      <c r="T4" t="str">
        <v>false</v>
      </c>
      <c r="U4" t="str">
        <v>false</v>
      </c>
      <c r="V4" t="str">
        <v>Filled up the outpost</v>
      </c>
      <c r="W4">
        <v>4</v>
      </c>
      <c r="Y4">
        <f>SUM($N$4:$P$4)</f>
        <v>33</v>
      </c>
      <c r="AB4">
        <f t="shared" ref="AB4:AB20" si="0">IF(B4,SUM(N4:P4),"")</f>
        <v>33</v>
      </c>
    </row>
    <row r="5" spans="1:28" x14ac:dyDescent="0.3">
      <c r="A5" t="str">
        <v>JV</v>
      </c>
      <c r="B5">
        <v>32</v>
      </c>
      <c r="C5" t="str">
        <v>R3</v>
      </c>
      <c r="D5">
        <v>1410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4</v>
      </c>
      <c r="O5">
        <v>0</v>
      </c>
      <c r="P5">
        <v>0</v>
      </c>
      <c r="Q5">
        <v>41</v>
      </c>
      <c r="R5" t="str">
        <v>false</v>
      </c>
      <c r="S5" t="str">
        <v>NA</v>
      </c>
      <c r="T5" t="str">
        <v>false</v>
      </c>
      <c r="U5" t="str">
        <v>false</v>
      </c>
      <c r="V5" t="str">
        <v>Mostly fed balls to team but did an amazing job at it.</v>
      </c>
      <c r="W5">
        <v>5</v>
      </c>
      <c r="Y5">
        <f>SUM($N$5:$P$5)</f>
        <v>4</v>
      </c>
      <c r="AB5">
        <f t="shared" si="0"/>
        <v>4</v>
      </c>
    </row>
    <row r="6" spans="1:28" x14ac:dyDescent="0.3">
      <c r="A6" t="str">
        <v>GD</v>
      </c>
      <c r="B6">
        <v>41</v>
      </c>
      <c r="C6" t="str">
        <v>R1</v>
      </c>
      <c r="D6">
        <v>1410</v>
      </c>
      <c r="E6" t="str">
        <v>D</v>
      </c>
      <c r="F6" t="str">
        <v>false</v>
      </c>
      <c r="G6" t="str">
        <v>true</v>
      </c>
      <c r="H6" t="str">
        <v>true</v>
      </c>
      <c r="I6" t="str">
        <v>false</v>
      </c>
      <c r="J6" t="str">
        <v>No attempt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4</v>
      </c>
      <c r="Y6">
        <f>SUM($N$6:$P$6)</f>
        <v>0</v>
      </c>
      <c r="AB6">
        <f t="shared" si="0"/>
        <v>0</v>
      </c>
    </row>
    <row r="7" spans="1:28" x14ac:dyDescent="0.3">
      <c r="A7" t="str">
        <v>AA</v>
      </c>
      <c r="B7">
        <v>54</v>
      </c>
      <c r="C7" t="str">
        <v>R2</v>
      </c>
      <c r="D7">
        <v>1410</v>
      </c>
      <c r="E7" t="str">
        <v>H</v>
      </c>
      <c r="F7" t="str">
        <v>false</v>
      </c>
      <c r="G7" t="str">
        <v>false</v>
      </c>
      <c r="H7" t="str">
        <v>false</v>
      </c>
      <c r="I7" t="str">
        <v>false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 xml:space="preserve">Can»t pick up so was really good at supporting bots an humans and defending </v>
      </c>
      <c r="W7">
        <v>5</v>
      </c>
      <c r="Y7">
        <f>SUM($N$7:$P$7)</f>
        <v>0</v>
      </c>
      <c r="AB7">
        <f t="shared" si="0"/>
        <v>0</v>
      </c>
    </row>
    <row r="8" spans="1:28" x14ac:dyDescent="0.3">
      <c r="A8" t="str">
        <v>BW</v>
      </c>
      <c r="B8">
        <v>64</v>
      </c>
      <c r="C8" t="str">
        <v>R1</v>
      </c>
      <c r="D8">
        <v>1410</v>
      </c>
      <c r="E8" t="str">
        <v>O</v>
      </c>
      <c r="F8" t="str">
        <v>false</v>
      </c>
      <c r="G8" t="str">
        <v>true</v>
      </c>
      <c r="H8" t="str">
        <v>true</v>
      </c>
      <c r="I8" t="str">
        <v>true</v>
      </c>
      <c r="J8" t="str">
        <v>NA</v>
      </c>
      <c r="K8" t="str">
        <v>false</v>
      </c>
      <c r="L8" t="str">
        <v>false</v>
      </c>
      <c r="M8" t="str">
        <v>false</v>
      </c>
      <c r="N8">
        <v>0</v>
      </c>
      <c r="O8">
        <v>3</v>
      </c>
      <c r="P8">
        <v>5</v>
      </c>
      <c r="Q8">
        <v>70</v>
      </c>
      <c r="R8" t="str">
        <v>true</v>
      </c>
      <c r="S8" t="str">
        <v>NA</v>
      </c>
      <c r="T8" t="str">
        <v>false</v>
      </c>
      <c r="U8" t="str">
        <v>false</v>
      </c>
      <c r="V8">
        <v>0</v>
      </c>
      <c r="W8">
        <v>3</v>
      </c>
      <c r="Y8">
        <f>SUM($N$8:$P$8)</f>
        <v>8</v>
      </c>
      <c r="AB8">
        <f t="shared" si="0"/>
        <v>8</v>
      </c>
    </row>
    <row r="9" spans="1:28" x14ac:dyDescent="0.3">
      <c r="A9" t="str">
        <v>AA</v>
      </c>
      <c r="B9">
        <v>72</v>
      </c>
      <c r="C9" t="str">
        <v>R2</v>
      </c>
      <c r="D9">
        <v>1410</v>
      </c>
      <c r="E9" t="str">
        <v>H</v>
      </c>
      <c r="F9" t="str">
        <v>false</v>
      </c>
      <c r="G9" t="str">
        <v>true</v>
      </c>
      <c r="H9" t="str">
        <v>true</v>
      </c>
      <c r="I9" t="str">
        <v>true</v>
      </c>
      <c r="J9" t="str">
        <v>NA</v>
      </c>
      <c r="K9" t="str">
        <v>true</v>
      </c>
      <c r="L9" t="str">
        <v>false</v>
      </c>
      <c r="M9" t="str">
        <v>false</v>
      </c>
      <c r="N9">
        <v>0</v>
      </c>
      <c r="O9">
        <v>0</v>
      </c>
      <c r="P9">
        <v>0</v>
      </c>
      <c r="Q9">
        <v>100</v>
      </c>
      <c r="R9" t="str">
        <v>true</v>
      </c>
      <c r="S9" t="str">
        <v>NA</v>
      </c>
      <c r="T9" t="str">
        <v>false</v>
      </c>
      <c r="U9" t="str">
        <v>false</v>
      </c>
      <c r="V9" t="str">
        <v>Great support to both human and bot, good defense and really speedy</v>
      </c>
      <c r="W9">
        <v>5</v>
      </c>
      <c r="Y9">
        <f>SUM($N$9:$P$9)</f>
        <v>0</v>
      </c>
      <c r="AB9">
        <f t="shared" si="0"/>
        <v>0</v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0DDE-D277-41D3-94D3-7C02F81AB8C3}">
  <dimension ref="A1:AB33"/>
  <sheetViews>
    <sheetView topLeftCell="M1" workbookViewId="0">
      <selection activeCell="AB3" sqref="AB3:AB20"/>
    </sheetView>
  </sheetViews>
  <sheetFormatPr defaultRowHeight="14.4" x14ac:dyDescent="0.3"/>
  <sheetData>
    <row r="1" spans="1:28" x14ac:dyDescent="0.3">
      <c r="A1">
        <v>1828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Joep</v>
      </c>
      <c r="B3">
        <v>26</v>
      </c>
      <c r="C3" t="str">
        <v>B2</v>
      </c>
      <c r="D3">
        <v>1828</v>
      </c>
      <c r="E3" t="str">
        <v>D</v>
      </c>
      <c r="F3" t="str">
        <v>false</v>
      </c>
      <c r="G3" t="str">
        <v>true</v>
      </c>
      <c r="H3" t="str">
        <v>false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2</v>
      </c>
      <c r="O3">
        <v>0</v>
      </c>
      <c r="P3">
        <v>10</v>
      </c>
      <c r="Q3">
        <v>40</v>
      </c>
      <c r="R3" t="str">
        <v>false</v>
      </c>
      <c r="S3" t="str">
        <v>NA</v>
      </c>
      <c r="T3" t="str">
        <v>false</v>
      </c>
      <c r="U3" t="str">
        <v>false</v>
      </c>
      <c r="V3" t="str">
        <v>Stuck on bump at the end</v>
      </c>
      <c r="W3">
        <v>2</v>
      </c>
      <c r="Y3">
        <f>SUM($N$3:$P$3)</f>
        <v>12</v>
      </c>
      <c r="AB3">
        <f>IF(B3,SUM(N3:P3),"")</f>
        <v>12</v>
      </c>
    </row>
    <row r="4" spans="1:28" x14ac:dyDescent="0.3">
      <c r="A4" t="str">
        <v>AA</v>
      </c>
      <c r="B4">
        <v>33</v>
      </c>
      <c r="C4" t="str">
        <v>R2</v>
      </c>
      <c r="D4">
        <v>1828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 t="str">
        <v>Didn»t do anything other than drive</v>
      </c>
      <c r="W4">
        <v>1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Yannis</v>
      </c>
      <c r="B5">
        <v>42</v>
      </c>
      <c r="C5" t="str">
        <v>B2</v>
      </c>
      <c r="D5">
        <v>1828</v>
      </c>
      <c r="E5" t="str">
        <v>O</v>
      </c>
      <c r="F5" t="str">
        <v>false</v>
      </c>
      <c r="G5" t="str">
        <v>true</v>
      </c>
      <c r="H5" t="str">
        <v>false</v>
      </c>
      <c r="I5" t="str">
        <v>true</v>
      </c>
      <c r="J5">
        <v>0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20</v>
      </c>
      <c r="Q5">
        <v>33</v>
      </c>
      <c r="R5" t="str">
        <v>false</v>
      </c>
      <c r="S5" t="str">
        <v>NA</v>
      </c>
      <c r="T5" t="str">
        <v>true</v>
      </c>
      <c r="U5" t="str">
        <v>false</v>
      </c>
      <c r="V5">
        <v>0</v>
      </c>
      <c r="W5">
        <v>2</v>
      </c>
      <c r="Y5">
        <f>SUM($N$5:$P$5)</f>
        <v>20</v>
      </c>
      <c r="AB5">
        <f t="shared" si="0"/>
        <v>20</v>
      </c>
    </row>
    <row r="6" spans="1:28" x14ac:dyDescent="0.3">
      <c r="A6" t="str">
        <v>Yannis</v>
      </c>
      <c r="B6">
        <v>50</v>
      </c>
      <c r="C6" t="str">
        <v>B1</v>
      </c>
      <c r="D6">
        <v>1828</v>
      </c>
      <c r="E6" t="str">
        <v>H</v>
      </c>
      <c r="F6" t="str">
        <v>false</v>
      </c>
      <c r="G6" t="str">
        <v>false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true</v>
      </c>
      <c r="S6" t="str">
        <v>NA</v>
      </c>
      <c r="T6" t="str">
        <v>true</v>
      </c>
      <c r="U6" t="str">
        <v>false</v>
      </c>
      <c r="V6" t="str">
        <v>Intake doesn't work, pushed balls to own field. Didn't do anything during endgame</v>
      </c>
      <c r="W6">
        <v>3</v>
      </c>
      <c r="Y6">
        <f>SUM($N$6:$P$6)</f>
        <v>0</v>
      </c>
      <c r="AB6">
        <f t="shared" si="0"/>
        <v>0</v>
      </c>
    </row>
    <row r="7" spans="1:28" x14ac:dyDescent="0.3">
      <c r="A7" t="str">
        <v>Maud</v>
      </c>
      <c r="B7">
        <v>67</v>
      </c>
      <c r="C7" t="str">
        <v>R1</v>
      </c>
      <c r="D7">
        <v>1828</v>
      </c>
      <c r="E7" t="str">
        <v>D</v>
      </c>
      <c r="F7" t="str">
        <v>false</v>
      </c>
      <c r="G7" t="str">
        <v>true</v>
      </c>
      <c r="H7" t="str">
        <v>false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18</v>
      </c>
      <c r="P7">
        <v>30</v>
      </c>
      <c r="Q7">
        <v>74</v>
      </c>
      <c r="R7" t="str">
        <v>false</v>
      </c>
      <c r="S7" t="str">
        <v>NA</v>
      </c>
      <c r="T7" t="str">
        <v>false</v>
      </c>
      <c r="U7" t="str">
        <v>false</v>
      </c>
      <c r="V7" t="str">
        <v xml:space="preserve">Took long time for intake </v>
      </c>
      <c r="W7">
        <v>3</v>
      </c>
      <c r="Y7">
        <f>SUM($N$7:$P$7)</f>
        <v>48</v>
      </c>
      <c r="AB7">
        <f t="shared" si="0"/>
        <v>48</v>
      </c>
    </row>
    <row r="8" spans="1:28" x14ac:dyDescent="0.3">
      <c r="A8" t="str">
        <v>JV</v>
      </c>
      <c r="B8">
        <v>76</v>
      </c>
      <c r="C8" t="str">
        <v>R3</v>
      </c>
      <c r="D8">
        <v>1828</v>
      </c>
      <c r="E8" t="str">
        <v>H</v>
      </c>
      <c r="F8" t="str">
        <v>false</v>
      </c>
      <c r="G8" t="str">
        <v>true</v>
      </c>
      <c r="H8" t="str">
        <v>true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48</v>
      </c>
      <c r="O8">
        <v>0</v>
      </c>
      <c r="P8">
        <v>0</v>
      </c>
      <c r="Q8">
        <v>81</v>
      </c>
      <c r="R8" t="str">
        <v>false</v>
      </c>
      <c r="S8" t="str">
        <v>NA</v>
      </c>
      <c r="T8" t="str">
        <v>false</v>
      </c>
      <c r="U8" t="str">
        <v>false</v>
      </c>
      <c r="V8" t="str">
        <v xml:space="preserve">Focused on basic offense </v>
      </c>
      <c r="W8">
        <v>4</v>
      </c>
      <c r="Y8">
        <f>SUM($N$8:$P$8)</f>
        <v>48</v>
      </c>
      <c r="AB8">
        <f t="shared" si="0"/>
        <v>48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4164-0592-48E7-9BEC-650192C2C589}">
  <dimension ref="A1:AB33"/>
  <sheetViews>
    <sheetView topLeftCell="G1" workbookViewId="0">
      <selection activeCell="AB3" sqref="AB3:AB20"/>
    </sheetView>
  </sheetViews>
  <sheetFormatPr defaultRowHeight="14.4" x14ac:dyDescent="0.3"/>
  <sheetData>
    <row r="1" spans="1:28" x14ac:dyDescent="0.3">
      <c r="A1">
        <v>2080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Jippe</v>
      </c>
      <c r="B3">
        <v>14</v>
      </c>
      <c r="C3" t="str">
        <v>B2</v>
      </c>
      <c r="D3">
        <v>2080</v>
      </c>
      <c r="E3" t="str">
        <v>O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No attempt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true</v>
      </c>
      <c r="U3" t="str">
        <v>false</v>
      </c>
      <c r="V3">
        <v>0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>AA</v>
      </c>
      <c r="B4">
        <v>23</v>
      </c>
      <c r="C4" t="str">
        <v>R2</v>
      </c>
      <c r="D4">
        <v>2080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6</v>
      </c>
      <c r="O4">
        <v>0</v>
      </c>
      <c r="P4">
        <v>15</v>
      </c>
      <c r="Q4">
        <v>32</v>
      </c>
      <c r="R4" t="str">
        <v>false</v>
      </c>
      <c r="S4" t="str">
        <v>NA</v>
      </c>
      <c r="T4" t="str">
        <v>false</v>
      </c>
      <c r="U4" t="str">
        <v>false</v>
      </c>
      <c r="V4" t="str">
        <v xml:space="preserve">Slow in all aspects </v>
      </c>
      <c r="W4">
        <v>0</v>
      </c>
      <c r="Y4">
        <f>SUM($N$4:$P$4)</f>
        <v>21</v>
      </c>
      <c r="AB4">
        <f t="shared" ref="AB4:AB20" si="0">IF(B4,SUM(N4:P4),"")</f>
        <v>21</v>
      </c>
    </row>
    <row r="5" spans="1:28" x14ac:dyDescent="0.3">
      <c r="A5" t="str">
        <v>GD</v>
      </c>
      <c r="B5">
        <v>34</v>
      </c>
      <c r="C5" t="str">
        <v>R1</v>
      </c>
      <c r="D5">
        <v>2080</v>
      </c>
      <c r="E5" t="str">
        <v>D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1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 t="str">
        <v xml:space="preserve">Caused multiple collisions </v>
      </c>
      <c r="W5">
        <v>1</v>
      </c>
      <c r="Y5">
        <f>SUM($N$5:$P$5)</f>
        <v>1</v>
      </c>
      <c r="AB5">
        <f t="shared" si="0"/>
        <v>1</v>
      </c>
    </row>
    <row r="6" spans="1:28" x14ac:dyDescent="0.3">
      <c r="A6" t="str">
        <v>AA</v>
      </c>
      <c r="B6">
        <v>46</v>
      </c>
      <c r="C6" t="str">
        <v>R2</v>
      </c>
      <c r="D6">
        <v>2080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5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Couldn»t pick up so did great defense and decent support, just could»ve been faster and more active</v>
      </c>
      <c r="W6">
        <v>4</v>
      </c>
      <c r="Y6">
        <f>SUM($N$6:$P$6)</f>
        <v>5</v>
      </c>
      <c r="AB6">
        <f t="shared" si="0"/>
        <v>5</v>
      </c>
    </row>
    <row r="7" spans="1:28" x14ac:dyDescent="0.3">
      <c r="A7" t="str">
        <v>JV</v>
      </c>
      <c r="B7">
        <v>54</v>
      </c>
      <c r="C7" t="str">
        <v>R3</v>
      </c>
      <c r="D7">
        <v>2080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3</v>
      </c>
      <c r="O7">
        <v>0</v>
      </c>
      <c r="P7">
        <v>0</v>
      </c>
      <c r="Q7">
        <v>100</v>
      </c>
      <c r="R7" t="str">
        <v>true</v>
      </c>
      <c r="S7" t="str">
        <v>A</v>
      </c>
      <c r="T7" t="str">
        <v>false</v>
      </c>
      <c r="U7" t="str">
        <v>false</v>
      </c>
      <c r="V7" t="str">
        <v>Not very well job of ball fedding</v>
      </c>
      <c r="W7">
        <v>3</v>
      </c>
      <c r="Y7">
        <f>SUM($N$7:$P$7)</f>
        <v>3</v>
      </c>
      <c r="AB7">
        <f t="shared" si="0"/>
        <v>3</v>
      </c>
    </row>
    <row r="8" spans="1:28" x14ac:dyDescent="0.3">
      <c r="A8" t="str">
        <v>Anita Karki</v>
      </c>
      <c r="B8">
        <v>73</v>
      </c>
      <c r="C8" t="str">
        <v>B1</v>
      </c>
      <c r="D8">
        <v>2080</v>
      </c>
      <c r="E8" t="str">
        <v>O</v>
      </c>
      <c r="F8" t="str">
        <v>false</v>
      </c>
      <c r="G8" t="str">
        <v>true</v>
      </c>
      <c r="H8" t="str">
        <v>false</v>
      </c>
      <c r="I8" t="str">
        <v>false</v>
      </c>
      <c r="J8" t="str">
        <v>NA</v>
      </c>
      <c r="K8" t="str">
        <v>false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</v>
      </c>
      <c r="R8" t="str">
        <v>true</v>
      </c>
      <c r="S8" t="str">
        <v>No Attempt</v>
      </c>
      <c r="T8" t="str">
        <v>false</v>
      </c>
      <c r="U8" t="str">
        <v>false</v>
      </c>
      <c r="V8" t="str">
        <v>didn't do much</v>
      </c>
      <c r="W8">
        <v>2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380F-F46E-46C5-8D11-4B732B489EE3}">
  <dimension ref="A1:AB33"/>
  <sheetViews>
    <sheetView topLeftCell="K1" workbookViewId="0">
      <selection activeCell="AB3" sqref="AB3:AB20"/>
    </sheetView>
  </sheetViews>
  <sheetFormatPr defaultRowHeight="14.4" x14ac:dyDescent="0.3"/>
  <sheetData>
    <row r="1" spans="1:28" x14ac:dyDescent="0.3">
      <c r="A1">
        <v>2122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Anita Karki</v>
      </c>
      <c r="B3">
        <v>36</v>
      </c>
      <c r="C3" t="str">
        <v>B1</v>
      </c>
      <c r="D3">
        <v>2122</v>
      </c>
      <c r="E3" t="str">
        <v>O</v>
      </c>
      <c r="F3" t="str">
        <v>false</v>
      </c>
      <c r="G3" t="str">
        <v>true</v>
      </c>
      <c r="H3" t="str">
        <v>true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250</v>
      </c>
      <c r="Q3">
        <v>94</v>
      </c>
      <c r="R3" t="str">
        <v>false</v>
      </c>
      <c r="S3" t="str">
        <v>NA</v>
      </c>
      <c r="T3" t="str">
        <v>false</v>
      </c>
      <c r="U3" t="str">
        <v>false</v>
      </c>
      <c r="V3" t="str">
        <v>vaak schieten ze raak af en toe niet is niet bij te houden</v>
      </c>
      <c r="W3">
        <v>5</v>
      </c>
      <c r="Y3">
        <f>SUM($N$3:$P$3)</f>
        <v>250</v>
      </c>
      <c r="AB3">
        <f>IF(B3,SUM(N3:P3),"")</f>
        <v>250</v>
      </c>
    </row>
    <row r="4" spans="1:28" x14ac:dyDescent="0.3">
      <c r="A4" t="str">
        <v>JV</v>
      </c>
      <c r="B4">
        <v>45</v>
      </c>
      <c r="C4" t="str">
        <v>R3</v>
      </c>
      <c r="D4">
        <v>2122</v>
      </c>
      <c r="E4" t="str">
        <v>H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false</v>
      </c>
      <c r="L4" t="str">
        <v>false</v>
      </c>
      <c r="M4" t="str">
        <v>false</v>
      </c>
      <c r="N4">
        <v>213</v>
      </c>
      <c r="O4">
        <v>0</v>
      </c>
      <c r="P4">
        <v>0</v>
      </c>
      <c r="Q4">
        <v>92</v>
      </c>
      <c r="R4" t="str">
        <v>false</v>
      </c>
      <c r="S4" t="str">
        <v>NA</v>
      </c>
      <c r="T4" t="str">
        <v>false</v>
      </c>
      <c r="U4" t="str">
        <v>false</v>
      </c>
      <c r="V4" t="str">
        <v xml:space="preserve">Absolute flawless offense </v>
      </c>
      <c r="W4">
        <v>5</v>
      </c>
      <c r="Y4">
        <f>SUM($N$4:$P$4)</f>
        <v>213</v>
      </c>
      <c r="AB4">
        <f t="shared" ref="AB4:AB20" si="0">IF(B4,SUM(N4:P4),"")</f>
        <v>213</v>
      </c>
    </row>
    <row r="5" spans="1:28" x14ac:dyDescent="0.3">
      <c r="A5" t="str">
        <v>GD</v>
      </c>
      <c r="B5">
        <v>55</v>
      </c>
      <c r="C5" t="str">
        <v>R1</v>
      </c>
      <c r="D5">
        <v>2122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false</v>
      </c>
      <c r="L5" t="str">
        <v>false</v>
      </c>
      <c r="M5" t="str">
        <v>false</v>
      </c>
      <c r="N5">
        <v>64</v>
      </c>
      <c r="O5">
        <v>0</v>
      </c>
      <c r="P5">
        <v>90</v>
      </c>
      <c r="Q5">
        <v>92</v>
      </c>
      <c r="R5" t="str">
        <v>true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154</v>
      </c>
      <c r="AB5">
        <f t="shared" si="0"/>
        <v>154</v>
      </c>
    </row>
    <row r="6" spans="1:28" x14ac:dyDescent="0.3">
      <c r="A6" t="str">
        <v>BW</v>
      </c>
      <c r="B6">
        <v>68</v>
      </c>
      <c r="C6" t="str">
        <v>R1</v>
      </c>
      <c r="D6">
        <v>2122</v>
      </c>
      <c r="E6" t="str">
        <v>D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290</v>
      </c>
      <c r="Q6">
        <v>90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5</v>
      </c>
      <c r="Y6">
        <f>SUM($N$6:$P$6)</f>
        <v>290</v>
      </c>
      <c r="AB6">
        <f t="shared" si="0"/>
        <v>290</v>
      </c>
    </row>
    <row r="7" spans="1:28" x14ac:dyDescent="0.3">
      <c r="A7" t="str">
        <v>Anita Karki</v>
      </c>
      <c r="B7">
        <v>75</v>
      </c>
      <c r="C7" t="str">
        <v>B2</v>
      </c>
      <c r="D7">
        <v>2122</v>
      </c>
      <c r="E7" t="str">
        <v>O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0</v>
      </c>
      <c r="P7">
        <v>200</v>
      </c>
      <c r="Q7">
        <v>95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5</v>
      </c>
      <c r="Y7">
        <f>SUM($N$7:$P$7)</f>
        <v>200</v>
      </c>
      <c r="AB7">
        <f t="shared" si="0"/>
        <v>200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BED55-D31E-45AF-B93C-DE128E88E66B}">
  <dimension ref="A1:AB33"/>
  <sheetViews>
    <sheetView topLeftCell="H1" workbookViewId="0">
      <selection activeCell="AB3" sqref="AB3:AB20"/>
    </sheetView>
  </sheetViews>
  <sheetFormatPr defaultRowHeight="14.4" x14ac:dyDescent="0.3"/>
  <sheetData>
    <row r="1" spans="1:28" x14ac:dyDescent="0.3">
      <c r="A1">
        <v>2403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Jippe</v>
      </c>
      <c r="B3">
        <v>1</v>
      </c>
      <c r="C3" t="str">
        <v>B2</v>
      </c>
      <c r="D3">
        <v>2403</v>
      </c>
      <c r="E3" t="str">
        <v>D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2</v>
      </c>
      <c r="O3">
        <v>6</v>
      </c>
      <c r="P3">
        <v>30</v>
      </c>
      <c r="Q3">
        <v>52</v>
      </c>
      <c r="R3" t="str">
        <v>false</v>
      </c>
      <c r="S3" t="str">
        <v>NA</v>
      </c>
      <c r="T3" t="str">
        <v>false</v>
      </c>
      <c r="U3" t="str">
        <v>false</v>
      </c>
      <c r="V3" t="str">
        <v xml:space="preserve">A lot of shots go to far </v>
      </c>
      <c r="W3">
        <v>4</v>
      </c>
      <c r="Y3">
        <f>SUM($N$3:$P$3)</f>
        <v>38</v>
      </c>
      <c r="AB3">
        <f>IF(B3,SUM(N3:P3),"")</f>
        <v>38</v>
      </c>
    </row>
    <row r="4" spans="1:28" x14ac:dyDescent="0.3">
      <c r="A4" t="str">
        <v>BW</v>
      </c>
      <c r="B4">
        <v>22</v>
      </c>
      <c r="C4" t="str">
        <v>R1</v>
      </c>
      <c r="D4">
        <v>2403</v>
      </c>
      <c r="E4" t="str">
        <v>O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true</v>
      </c>
      <c r="M4" t="str">
        <v>false</v>
      </c>
      <c r="N4">
        <v>3</v>
      </c>
      <c r="O4">
        <v>0</v>
      </c>
      <c r="P4">
        <v>15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 t="str">
        <v>Supported human players</v>
      </c>
      <c r="W4">
        <v>4</v>
      </c>
      <c r="Y4">
        <f>SUM($N$4:$P$4)</f>
        <v>18</v>
      </c>
      <c r="AB4">
        <f t="shared" ref="AB4:AB20" si="0">IF(B4,SUM(N4:P4),"")</f>
        <v>18</v>
      </c>
    </row>
    <row r="5" spans="1:28" x14ac:dyDescent="0.3">
      <c r="A5" t="str">
        <v>JV</v>
      </c>
      <c r="B5">
        <v>39</v>
      </c>
      <c r="C5" t="str">
        <v>R3</v>
      </c>
      <c r="D5">
        <v>2403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50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 t="str">
        <v>Mainly focused on shooting and stayed on their side for the most part.</v>
      </c>
      <c r="W5">
        <v>5</v>
      </c>
      <c r="Y5">
        <f>SUM($N$5:$P$5)</f>
        <v>50</v>
      </c>
      <c r="AB5">
        <f t="shared" si="0"/>
        <v>50</v>
      </c>
    </row>
    <row r="6" spans="1:28" x14ac:dyDescent="0.3">
      <c r="A6" t="str">
        <v>Nick</v>
      </c>
      <c r="B6">
        <v>67</v>
      </c>
      <c r="C6" t="str">
        <v>B2</v>
      </c>
      <c r="D6">
        <v>2403</v>
      </c>
      <c r="E6" t="str">
        <v>O</v>
      </c>
      <c r="F6" t="str">
        <v>false</v>
      </c>
      <c r="G6" t="str">
        <v>true</v>
      </c>
      <c r="H6" t="str">
        <v>false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2</v>
      </c>
      <c r="O6">
        <v>33</v>
      </c>
      <c r="P6">
        <v>60</v>
      </c>
      <c r="Q6">
        <v>69</v>
      </c>
      <c r="R6" t="str">
        <v>false</v>
      </c>
      <c r="S6" t="str">
        <v>NA</v>
      </c>
      <c r="T6" t="str">
        <v>false</v>
      </c>
      <c r="U6" t="str">
        <v>false</v>
      </c>
      <c r="V6" t="str">
        <v>Lots of feeding by pushing balls</v>
      </c>
      <c r="W6">
        <v>4</v>
      </c>
      <c r="Y6">
        <f>SUM($N$6:$P$6)</f>
        <v>95</v>
      </c>
      <c r="AB6">
        <f t="shared" si="0"/>
        <v>95</v>
      </c>
    </row>
    <row r="7" spans="1:28" x14ac:dyDescent="0.3">
      <c r="A7" t="str">
        <v>Jippe</v>
      </c>
      <c r="B7">
        <v>74</v>
      </c>
      <c r="C7" t="str">
        <v>R2</v>
      </c>
      <c r="D7">
        <v>2403</v>
      </c>
      <c r="E7" t="str">
        <v>O</v>
      </c>
      <c r="F7" t="str">
        <v>false</v>
      </c>
      <c r="G7" t="str">
        <v>false</v>
      </c>
      <c r="H7" t="str">
        <v>false</v>
      </c>
      <c r="I7" t="str">
        <v>true</v>
      </c>
      <c r="J7" t="str">
        <v>No attempt</v>
      </c>
      <c r="K7" t="str">
        <v>true</v>
      </c>
      <c r="L7" t="str">
        <v>false</v>
      </c>
      <c r="M7" t="str">
        <v>false</v>
      </c>
      <c r="N7">
        <v>2</v>
      </c>
      <c r="O7">
        <v>12</v>
      </c>
      <c r="P7">
        <v>10</v>
      </c>
      <c r="Q7">
        <v>81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5</v>
      </c>
      <c r="Y7">
        <f>SUM($N$7:$P$7)</f>
        <v>24</v>
      </c>
      <c r="AB7">
        <f t="shared" si="0"/>
        <v>24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F326-94B5-437A-AA48-051CE5EF74DE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2478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Jippe</v>
      </c>
      <c r="B3">
        <v>2</v>
      </c>
      <c r="C3" t="str">
        <v>R2</v>
      </c>
      <c r="D3">
        <v>2478</v>
      </c>
      <c r="E3" t="str">
        <v>D</v>
      </c>
      <c r="F3" t="str">
        <v>false</v>
      </c>
      <c r="G3" t="str">
        <v>true</v>
      </c>
      <c r="H3" t="str">
        <v>true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A</v>
      </c>
      <c r="T3" t="str">
        <v>true</v>
      </c>
      <c r="U3" t="str">
        <v>false</v>
      </c>
      <c r="V3" t="str">
        <v>Died right after auto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>Jippe</v>
      </c>
      <c r="B4">
        <v>39</v>
      </c>
      <c r="C4" t="str">
        <v>B1</v>
      </c>
      <c r="D4">
        <v>2478</v>
      </c>
      <c r="E4" t="str">
        <v>D</v>
      </c>
      <c r="F4" t="str">
        <v>false</v>
      </c>
      <c r="G4" t="str">
        <v>true</v>
      </c>
      <c r="H4" t="str">
        <v>true</v>
      </c>
      <c r="I4" t="str">
        <v>false</v>
      </c>
      <c r="J4" t="str">
        <v>No attempt</v>
      </c>
      <c r="K4" t="str">
        <v>true</v>
      </c>
      <c r="L4" t="str">
        <v>false</v>
      </c>
      <c r="M4" t="str">
        <v>false</v>
      </c>
      <c r="N4">
        <v>3</v>
      </c>
      <c r="O4">
        <v>9</v>
      </c>
      <c r="P4">
        <v>40</v>
      </c>
      <c r="Q4">
        <v>88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4</v>
      </c>
      <c r="Y4">
        <f>SUM($N$4:$P$4)</f>
        <v>52</v>
      </c>
      <c r="AB4">
        <f t="shared" ref="AB4:AB20" si="0">IF(B4,SUM(N4:P4),"")</f>
        <v>52</v>
      </c>
    </row>
    <row r="5" spans="1:28" x14ac:dyDescent="0.3">
      <c r="A5" t="str">
        <v>Yannis</v>
      </c>
      <c r="B5">
        <v>51</v>
      </c>
      <c r="C5" t="str">
        <v>B1</v>
      </c>
      <c r="D5">
        <v>2478</v>
      </c>
      <c r="E5" t="str">
        <v>D</v>
      </c>
      <c r="F5" t="str">
        <v>false</v>
      </c>
      <c r="G5" t="str">
        <v>true</v>
      </c>
      <c r="H5" t="str">
        <v>true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3</v>
      </c>
      <c r="P5">
        <v>40</v>
      </c>
      <c r="Q5">
        <v>50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2</v>
      </c>
      <c r="Y5">
        <f>SUM($N$5:$P$5)</f>
        <v>43</v>
      </c>
      <c r="AB5">
        <f t="shared" si="0"/>
        <v>43</v>
      </c>
    </row>
    <row r="6" spans="1:28" x14ac:dyDescent="0.3">
      <c r="A6" t="str">
        <v>BW</v>
      </c>
      <c r="B6">
        <v>62</v>
      </c>
      <c r="C6" t="str">
        <v>R1</v>
      </c>
      <c r="D6">
        <v>2478</v>
      </c>
      <c r="E6" t="str">
        <v>O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3</v>
      </c>
      <c r="O6">
        <v>0</v>
      </c>
      <c r="P6">
        <v>5</v>
      </c>
      <c r="Q6">
        <v>65</v>
      </c>
      <c r="R6" t="str">
        <v>false</v>
      </c>
      <c r="S6" t="str">
        <v>NA</v>
      </c>
      <c r="T6" t="str">
        <v>true</v>
      </c>
      <c r="U6" t="str">
        <v>false</v>
      </c>
      <c r="V6">
        <v>0</v>
      </c>
      <c r="W6">
        <v>3</v>
      </c>
      <c r="Y6">
        <f>SUM($N$6:$P$6)</f>
        <v>8</v>
      </c>
      <c r="AB6">
        <f t="shared" si="0"/>
        <v>8</v>
      </c>
    </row>
    <row r="7" spans="1:28" x14ac:dyDescent="0.3">
      <c r="A7" t="str">
        <v>Maud</v>
      </c>
      <c r="B7">
        <v>73</v>
      </c>
      <c r="C7" t="str">
        <v>B3</v>
      </c>
      <c r="D7">
        <v>2478</v>
      </c>
      <c r="E7" t="str">
        <v>D</v>
      </c>
      <c r="F7" t="str">
        <v>false</v>
      </c>
      <c r="G7" t="str">
        <v>true</v>
      </c>
      <c r="H7" t="str">
        <v>true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6</v>
      </c>
      <c r="O7">
        <v>3</v>
      </c>
      <c r="P7">
        <v>5</v>
      </c>
      <c r="Q7">
        <v>25</v>
      </c>
      <c r="R7" t="str">
        <v>false</v>
      </c>
      <c r="S7" t="str">
        <v>NA</v>
      </c>
      <c r="T7" t="str">
        <v>false</v>
      </c>
      <c r="U7" t="str">
        <v>false</v>
      </c>
      <c r="V7" t="str">
        <v>Dit nothing most of the match</v>
      </c>
      <c r="W7">
        <v>2</v>
      </c>
      <c r="Y7">
        <f>SUM($N$7:$P$7)</f>
        <v>14</v>
      </c>
      <c r="AB7">
        <f t="shared" si="0"/>
        <v>14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DC78-1188-4269-BB90-82D3EAEAC537}">
  <dimension ref="A1:AB33"/>
  <sheetViews>
    <sheetView topLeftCell="H2" workbookViewId="0">
      <selection activeCell="AB3" sqref="AB3:AB20"/>
    </sheetView>
  </sheetViews>
  <sheetFormatPr defaultRowHeight="14.4" x14ac:dyDescent="0.3"/>
  <sheetData>
    <row r="1" spans="1:28" x14ac:dyDescent="0.3">
      <c r="A1">
        <v>2486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6">_xlfn._xlws.FILTER(Tabel1[], Tabel1[Team Number]=A1, "Geen resultaten")</f>
        <v>Mil g</v>
      </c>
      <c r="B3">
        <v>4</v>
      </c>
      <c r="C3" t="str">
        <v>B3</v>
      </c>
      <c r="D3">
        <v>2486</v>
      </c>
      <c r="E3" t="str">
        <v>D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6</v>
      </c>
      <c r="P3">
        <v>25</v>
      </c>
      <c r="Q3">
        <v>86</v>
      </c>
      <c r="R3" t="str">
        <v>true</v>
      </c>
      <c r="S3" t="str">
        <v>NA</v>
      </c>
      <c r="T3" t="str">
        <v>false</v>
      </c>
      <c r="U3" t="str">
        <v>false</v>
      </c>
      <c r="V3">
        <v>0</v>
      </c>
      <c r="W3">
        <v>4</v>
      </c>
      <c r="Y3">
        <f>SUM($N$3:$P$3)</f>
        <v>31</v>
      </c>
      <c r="AB3">
        <f>IF(B3,SUM(N3:P3),"")</f>
        <v>31</v>
      </c>
    </row>
    <row r="4" spans="1:28" x14ac:dyDescent="0.3">
      <c r="A4" t="str">
        <v xml:space="preserve">LeoV </v>
      </c>
      <c r="B4">
        <v>30</v>
      </c>
      <c r="C4" t="str">
        <v>R3</v>
      </c>
      <c r="D4">
        <v>2486</v>
      </c>
      <c r="E4" t="str">
        <v>D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15</v>
      </c>
      <c r="P4">
        <v>45</v>
      </c>
      <c r="Q4">
        <v>60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4</v>
      </c>
      <c r="Y4">
        <f>SUM($N$4:$P$4)</f>
        <v>60</v>
      </c>
      <c r="AB4">
        <f t="shared" ref="AB4:AB20" si="0">IF(B4,SUM(N4:P4),"")</f>
        <v>60</v>
      </c>
    </row>
    <row r="5" spans="1:28" x14ac:dyDescent="0.3">
      <c r="A5" t="str">
        <v>Yannis</v>
      </c>
      <c r="B5">
        <v>52</v>
      </c>
      <c r="C5" t="str">
        <v>B1</v>
      </c>
      <c r="D5">
        <v>2486</v>
      </c>
      <c r="E5" t="str">
        <v>D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12</v>
      </c>
      <c r="P5">
        <v>70</v>
      </c>
      <c r="Q5">
        <v>40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82</v>
      </c>
      <c r="AB5">
        <f t="shared" si="0"/>
        <v>82</v>
      </c>
    </row>
    <row r="6" spans="1:28" x14ac:dyDescent="0.3">
      <c r="A6" t="str">
        <v>AA</v>
      </c>
      <c r="B6">
        <v>63</v>
      </c>
      <c r="C6" t="str">
        <v>R2</v>
      </c>
      <c r="D6">
        <v>2486</v>
      </c>
      <c r="E6" t="str">
        <v>H</v>
      </c>
      <c r="F6" t="str">
        <v>false</v>
      </c>
      <c r="G6" t="str">
        <v>true</v>
      </c>
      <c r="H6" t="str">
        <v>true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3</v>
      </c>
      <c r="P6">
        <v>35</v>
      </c>
      <c r="Q6">
        <v>80</v>
      </c>
      <c r="R6" t="str">
        <v>false</v>
      </c>
      <c r="S6" t="str">
        <v>NA</v>
      </c>
      <c r="T6" t="str">
        <v>false</v>
      </c>
      <c r="U6" t="str">
        <v>false</v>
      </c>
      <c r="V6" t="str">
        <v>Mainly stuck to their side of field, did do some support at end. Bad auto good shooter</v>
      </c>
      <c r="W6">
        <v>3</v>
      </c>
      <c r="Y6">
        <f>SUM($N$6:$P$6)</f>
        <v>38</v>
      </c>
      <c r="AB6">
        <f t="shared" si="0"/>
        <v>38</v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3046-E744-4490-BAC8-67A52CF3BEAA}">
  <dimension ref="A1:AB33"/>
  <sheetViews>
    <sheetView topLeftCell="G1" workbookViewId="0">
      <selection activeCell="AB3" sqref="AB3:AB20"/>
    </sheetView>
  </sheetViews>
  <sheetFormatPr defaultRowHeight="14.4" x14ac:dyDescent="0.3"/>
  <sheetData>
    <row r="1" spans="1:28" x14ac:dyDescent="0.3">
      <c r="A1">
        <v>2662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LeoV</v>
      </c>
      <c r="B3">
        <v>2</v>
      </c>
      <c r="C3" t="str">
        <v>B3</v>
      </c>
      <c r="D3">
        <v>2662</v>
      </c>
      <c r="E3" t="str">
        <v>D</v>
      </c>
      <c r="F3" t="str">
        <v>false</v>
      </c>
      <c r="G3" t="str">
        <v>false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</v>
      </c>
      <c r="R3" t="str">
        <v>false</v>
      </c>
      <c r="S3" t="str">
        <v>NA</v>
      </c>
      <c r="T3" t="str">
        <v>false</v>
      </c>
      <c r="U3" t="str">
        <v>false</v>
      </c>
      <c r="V3" t="str">
        <v>Looks like ilthenintake broke and the they did not shoot</v>
      </c>
      <c r="W3">
        <v>2</v>
      </c>
      <c r="Y3">
        <f>SUM($N$3:$P$3)</f>
        <v>0</v>
      </c>
      <c r="AB3">
        <f>IF(B3,SUM(N3:P3),"")</f>
        <v>0</v>
      </c>
    </row>
    <row r="4" spans="1:28" x14ac:dyDescent="0.3">
      <c r="A4" t="str">
        <v>Joep</v>
      </c>
      <c r="B4">
        <v>28</v>
      </c>
      <c r="C4" t="str">
        <v>B2</v>
      </c>
      <c r="D4">
        <v>2662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4</v>
      </c>
      <c r="O4">
        <v>0</v>
      </c>
      <c r="P4">
        <v>0</v>
      </c>
      <c r="Q4">
        <v>50</v>
      </c>
      <c r="R4" t="str">
        <v>false</v>
      </c>
      <c r="S4" t="str">
        <v>NA</v>
      </c>
      <c r="T4" t="str">
        <v>false</v>
      </c>
      <c r="U4" t="str">
        <v>false</v>
      </c>
      <c r="V4" t="str">
        <v>Intake didn't work well</v>
      </c>
      <c r="W4">
        <v>3</v>
      </c>
      <c r="Y4">
        <f>SUM($N$4:$P$4)</f>
        <v>4</v>
      </c>
      <c r="AB4">
        <f t="shared" ref="AB4:AB20" si="0">IF(B4,SUM(N4:P4),"")</f>
        <v>4</v>
      </c>
    </row>
    <row r="5" spans="1:28" x14ac:dyDescent="0.3">
      <c r="A5" t="str">
        <v xml:space="preserve">LeoV </v>
      </c>
      <c r="B5">
        <v>52</v>
      </c>
      <c r="C5" t="str">
        <v>B2</v>
      </c>
      <c r="D5">
        <v>2662</v>
      </c>
      <c r="E5" t="str">
        <v>O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</v>
      </c>
      <c r="R5" t="str">
        <v>false</v>
      </c>
      <c r="S5" t="str">
        <v>No Attempt</v>
      </c>
      <c r="T5" t="str">
        <v>false</v>
      </c>
      <c r="U5" t="str">
        <v>false</v>
      </c>
      <c r="V5" t="str">
        <v xml:space="preserve"> intake broken, not feeding outpost</v>
      </c>
      <c r="W5">
        <v>3</v>
      </c>
      <c r="Y5">
        <f>SUM($N$5:$P$5)</f>
        <v>0</v>
      </c>
      <c r="AB5">
        <f t="shared" si="0"/>
        <v>0</v>
      </c>
    </row>
    <row r="6" spans="1:28" x14ac:dyDescent="0.3">
      <c r="A6" t="str">
        <v>GD</v>
      </c>
      <c r="B6">
        <v>46</v>
      </c>
      <c r="C6" t="str">
        <v>R1</v>
      </c>
      <c r="D6">
        <v>2662</v>
      </c>
      <c r="E6" t="str">
        <v>H</v>
      </c>
      <c r="F6" t="str">
        <v>false</v>
      </c>
      <c r="G6" t="str">
        <v>false</v>
      </c>
      <c r="H6" t="str">
        <v>true</v>
      </c>
      <c r="I6" t="str">
        <v>false</v>
      </c>
      <c r="J6" t="str">
        <v>No attempt</v>
      </c>
      <c r="K6" t="str">
        <v>true</v>
      </c>
      <c r="L6" t="str">
        <v>false</v>
      </c>
      <c r="M6" t="str">
        <v>true</v>
      </c>
      <c r="N6">
        <v>41</v>
      </c>
      <c r="O6">
        <v>0</v>
      </c>
      <c r="P6">
        <v>0</v>
      </c>
      <c r="Q6">
        <v>70</v>
      </c>
      <c r="R6" t="str">
        <v>false</v>
      </c>
      <c r="S6" t="str">
        <v>NA</v>
      </c>
      <c r="T6" t="str">
        <v>false</v>
      </c>
      <c r="U6" t="str">
        <v>false</v>
      </c>
      <c r="V6" t="str">
        <v>Lots of balls</v>
      </c>
      <c r="W6">
        <v>4</v>
      </c>
      <c r="Y6">
        <f>SUM($N$6:$P$6)</f>
        <v>41</v>
      </c>
      <c r="AB6">
        <f t="shared" si="0"/>
        <v>41</v>
      </c>
    </row>
    <row r="7" spans="1:28" x14ac:dyDescent="0.3">
      <c r="A7" t="str">
        <v>Jippe</v>
      </c>
      <c r="B7">
        <v>71</v>
      </c>
      <c r="C7" t="str">
        <v>R3</v>
      </c>
      <c r="D7">
        <v>2662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No attempt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2</v>
      </c>
      <c r="Y7">
        <f>SUM($N$7:$P$7)</f>
        <v>0</v>
      </c>
      <c r="AB7">
        <f t="shared" si="0"/>
        <v>0</v>
      </c>
    </row>
    <row r="8" spans="1:28" x14ac:dyDescent="0.3">
      <c r="A8" t="str">
        <v>AA</v>
      </c>
      <c r="B8">
        <v>78</v>
      </c>
      <c r="C8" t="str">
        <v>R2</v>
      </c>
      <c r="D8">
        <v>2662</v>
      </c>
      <c r="E8" t="str">
        <v>H</v>
      </c>
      <c r="F8" t="str">
        <v>true</v>
      </c>
      <c r="G8" t="str">
        <v>true</v>
      </c>
      <c r="H8" t="str">
        <v>false</v>
      </c>
      <c r="I8" t="str">
        <v>false</v>
      </c>
      <c r="J8" t="str">
        <v>NA</v>
      </c>
      <c r="K8" t="str">
        <v>false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100</v>
      </c>
      <c r="R8" t="str">
        <v>false</v>
      </c>
      <c r="S8" t="str">
        <v>NA</v>
      </c>
      <c r="T8" t="str">
        <v>false</v>
      </c>
      <c r="U8" t="str">
        <v>false</v>
      </c>
      <c r="V8">
        <v>0</v>
      </c>
      <c r="W8">
        <v>3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C167-76E1-4612-8924-A6F70D92E3A8}">
  <dimension ref="A1:AB33"/>
  <sheetViews>
    <sheetView topLeftCell="G1" workbookViewId="0">
      <selection activeCell="AB3" sqref="AB3:AB20"/>
    </sheetView>
  </sheetViews>
  <sheetFormatPr defaultRowHeight="14.4" x14ac:dyDescent="0.3"/>
  <sheetData>
    <row r="1" spans="1:28" x14ac:dyDescent="0.3">
      <c r="A1">
        <v>2840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9">_xlfn._xlws.FILTER(Tabel1[], Tabel1[Team Number]=A1, "Geen resultaten")</f>
        <v>TimoS</v>
      </c>
      <c r="B3">
        <v>18</v>
      </c>
      <c r="C3" t="str">
        <v>B3</v>
      </c>
      <c r="D3">
        <v>2840</v>
      </c>
      <c r="E3" t="str">
        <v>D</v>
      </c>
      <c r="F3" t="str">
        <v>false</v>
      </c>
      <c r="G3" t="str">
        <v>true</v>
      </c>
      <c r="H3" t="str">
        <v>true</v>
      </c>
      <c r="I3" t="str">
        <v>false</v>
      </c>
      <c r="J3" t="str">
        <v>No attempt</v>
      </c>
      <c r="K3" t="str">
        <v>true</v>
      </c>
      <c r="L3" t="str">
        <v>false</v>
      </c>
      <c r="M3" t="str">
        <v>false</v>
      </c>
      <c r="N3">
        <v>12</v>
      </c>
      <c r="O3">
        <v>3</v>
      </c>
      <c r="P3">
        <v>5</v>
      </c>
      <c r="Q3">
        <v>87</v>
      </c>
      <c r="R3" t="str">
        <v>false</v>
      </c>
      <c r="S3" t="str">
        <v>NA</v>
      </c>
      <c r="T3" t="str">
        <v>false</v>
      </c>
      <c r="U3" t="str">
        <v>false</v>
      </c>
      <c r="V3" t="str">
        <v>Shooter problems</v>
      </c>
      <c r="W3">
        <v>4</v>
      </c>
      <c r="Y3">
        <f>SUM($N$3:$P$3)</f>
        <v>20</v>
      </c>
      <c r="AB3">
        <f>IF(B3,SUM(N3:P3),"")</f>
        <v>20</v>
      </c>
    </row>
    <row r="4" spans="1:28" x14ac:dyDescent="0.3">
      <c r="A4" t="str">
        <v>JV</v>
      </c>
      <c r="B4">
        <v>24</v>
      </c>
      <c r="C4" t="str">
        <v>R3</v>
      </c>
      <c r="D4">
        <v>2840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>
        <v>0</v>
      </c>
      <c r="K4" t="str">
        <v>false</v>
      </c>
      <c r="L4" t="str">
        <v>false</v>
      </c>
      <c r="M4" t="str">
        <v>false</v>
      </c>
      <c r="N4">
        <v>8</v>
      </c>
      <c r="O4">
        <v>0</v>
      </c>
      <c r="P4">
        <v>0</v>
      </c>
      <c r="Q4">
        <v>92</v>
      </c>
      <c r="R4" t="str">
        <v>false</v>
      </c>
      <c r="S4" t="str">
        <v>NA</v>
      </c>
      <c r="T4" t="str">
        <v>false</v>
      </c>
      <c r="U4" t="str">
        <v>false</v>
      </c>
      <c r="V4" t="str">
        <v>Mostly stayed their own side scoring points.</v>
      </c>
      <c r="W4">
        <v>3</v>
      </c>
      <c r="Y4">
        <f>SUM($N$4:$P$4)</f>
        <v>8</v>
      </c>
      <c r="AB4">
        <f t="shared" ref="AB4:AB20" si="0">IF(B4,SUM(N4:P4),"")</f>
        <v>8</v>
      </c>
    </row>
    <row r="5" spans="1:28" x14ac:dyDescent="0.3">
      <c r="A5" t="str">
        <v>GD</v>
      </c>
      <c r="B5">
        <v>36</v>
      </c>
      <c r="C5" t="str">
        <v>R1</v>
      </c>
      <c r="D5">
        <v>2840</v>
      </c>
      <c r="E5" t="str">
        <v>D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true</v>
      </c>
      <c r="N5">
        <v>30</v>
      </c>
      <c r="O5">
        <v>0</v>
      </c>
      <c r="P5">
        <v>0</v>
      </c>
      <c r="Q5">
        <v>72</v>
      </c>
      <c r="R5" t="str">
        <v>true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30</v>
      </c>
      <c r="AB5">
        <f t="shared" si="0"/>
        <v>30</v>
      </c>
    </row>
    <row r="6" spans="1:28" x14ac:dyDescent="0.3">
      <c r="A6" t="str">
        <v>Maud</v>
      </c>
      <c r="B6">
        <v>46</v>
      </c>
      <c r="C6" t="str">
        <v>B2</v>
      </c>
      <c r="D6">
        <v>2840</v>
      </c>
      <c r="E6" t="str">
        <v>D</v>
      </c>
      <c r="F6" t="str">
        <v>false</v>
      </c>
      <c r="G6" t="str">
        <v>false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1</v>
      </c>
      <c r="O6">
        <v>12</v>
      </c>
      <c r="P6">
        <v>10</v>
      </c>
      <c r="Q6">
        <v>67</v>
      </c>
      <c r="R6" t="str">
        <v>false</v>
      </c>
      <c r="S6" t="str">
        <v>NA</v>
      </c>
      <c r="T6" t="str">
        <v>false</v>
      </c>
      <c r="U6" t="str">
        <v>false</v>
      </c>
      <c r="V6" t="str">
        <v>Slow</v>
      </c>
      <c r="W6">
        <v>2</v>
      </c>
      <c r="Y6">
        <f>SUM($N$6:$P$6)</f>
        <v>23</v>
      </c>
      <c r="AB6">
        <f t="shared" si="0"/>
        <v>23</v>
      </c>
    </row>
    <row r="7" spans="1:28" x14ac:dyDescent="0.3">
      <c r="A7" t="str">
        <v>Jippe</v>
      </c>
      <c r="B7">
        <v>53</v>
      </c>
      <c r="C7" t="str">
        <v>R3</v>
      </c>
      <c r="D7">
        <v>2840</v>
      </c>
      <c r="E7" t="str">
        <v>D</v>
      </c>
      <c r="F7" t="str">
        <v>false</v>
      </c>
      <c r="G7" t="str">
        <v>true</v>
      </c>
      <c r="H7" t="str">
        <v>false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4</v>
      </c>
      <c r="O7">
        <v>9</v>
      </c>
      <c r="P7">
        <v>5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>Stuck on bump</v>
      </c>
      <c r="W7">
        <v>2</v>
      </c>
      <c r="Y7">
        <f>SUM($N$7:$P$7)</f>
        <v>18</v>
      </c>
      <c r="AB7">
        <f t="shared" si="0"/>
        <v>18</v>
      </c>
    </row>
    <row r="8" spans="1:28" x14ac:dyDescent="0.3">
      <c r="A8" t="str">
        <v>Maud</v>
      </c>
      <c r="B8">
        <v>64</v>
      </c>
      <c r="C8" t="str">
        <v>B1</v>
      </c>
      <c r="D8">
        <v>2840</v>
      </c>
      <c r="E8" t="str">
        <v>O</v>
      </c>
      <c r="F8" t="str">
        <v>false</v>
      </c>
      <c r="G8" t="str">
        <v>false</v>
      </c>
      <c r="H8" t="str">
        <v>false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5</v>
      </c>
      <c r="O8">
        <v>3</v>
      </c>
      <c r="P8">
        <v>20</v>
      </c>
      <c r="Q8">
        <v>74</v>
      </c>
      <c r="R8" t="str">
        <v>false</v>
      </c>
      <c r="S8" t="str">
        <v>NA</v>
      </c>
      <c r="T8" t="str">
        <v>false</v>
      </c>
      <c r="U8" t="str">
        <v>false</v>
      </c>
      <c r="V8" t="str">
        <v xml:space="preserve">Slow with aligning </v>
      </c>
      <c r="W8">
        <v>3</v>
      </c>
      <c r="Y8">
        <f>SUM($N$8:$P$8)</f>
        <v>28</v>
      </c>
      <c r="AB8">
        <f t="shared" si="0"/>
        <v>28</v>
      </c>
    </row>
    <row r="9" spans="1:28" x14ac:dyDescent="0.3">
      <c r="A9" t="str">
        <v>AA</v>
      </c>
      <c r="B9">
        <v>71</v>
      </c>
      <c r="C9" t="str">
        <v>R2</v>
      </c>
      <c r="D9">
        <v>2840</v>
      </c>
      <c r="E9" t="str">
        <v>H</v>
      </c>
      <c r="F9" t="str">
        <v>false</v>
      </c>
      <c r="G9" t="str">
        <v>true</v>
      </c>
      <c r="H9" t="str">
        <v>false</v>
      </c>
      <c r="I9" t="str">
        <v>true</v>
      </c>
      <c r="J9" t="str">
        <v>NA</v>
      </c>
      <c r="K9" t="str">
        <v>true</v>
      </c>
      <c r="L9" t="str">
        <v>false</v>
      </c>
      <c r="M9" t="str">
        <v>false</v>
      </c>
      <c r="N9">
        <v>3</v>
      </c>
      <c r="O9">
        <v>3</v>
      </c>
      <c r="P9">
        <v>35</v>
      </c>
      <c r="Q9">
        <v>97</v>
      </c>
      <c r="R9" t="str">
        <v>false</v>
      </c>
      <c r="S9" t="str">
        <v>NA</v>
      </c>
      <c r="T9" t="str">
        <v>false</v>
      </c>
      <c r="U9" t="str">
        <v>false</v>
      </c>
      <c r="V9" t="str">
        <v>Calm and decent at everything, good carry</v>
      </c>
      <c r="W9">
        <v>3</v>
      </c>
      <c r="Y9">
        <f>SUM($N$9:$P$9)</f>
        <v>41</v>
      </c>
      <c r="AB9">
        <f t="shared" si="0"/>
        <v>41</v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25A9-CDAF-4A33-A302-7D1F82347FAB}">
  <dimension ref="A1:AB33"/>
  <sheetViews>
    <sheetView topLeftCell="G1" workbookViewId="0">
      <selection activeCell="AB3" sqref="AB3:AB20"/>
    </sheetView>
  </sheetViews>
  <sheetFormatPr defaultRowHeight="14.4" x14ac:dyDescent="0.3"/>
  <sheetData>
    <row r="1" spans="1:28" x14ac:dyDescent="0.3">
      <c r="A1">
        <v>3009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Joep</v>
      </c>
      <c r="B3">
        <v>18</v>
      </c>
      <c r="C3" t="str">
        <v>B2</v>
      </c>
      <c r="D3">
        <v>3009</v>
      </c>
      <c r="E3" t="str">
        <v>H</v>
      </c>
      <c r="F3" t="str">
        <v>false</v>
      </c>
      <c r="G3" t="str">
        <v>true</v>
      </c>
      <c r="H3" t="str">
        <v>false</v>
      </c>
      <c r="I3" t="str">
        <v>false</v>
      </c>
      <c r="J3">
        <v>0</v>
      </c>
      <c r="K3" t="str">
        <v>false</v>
      </c>
      <c r="L3" t="str">
        <v>false</v>
      </c>
      <c r="M3" t="str">
        <v>false</v>
      </c>
      <c r="N3">
        <v>1</v>
      </c>
      <c r="O3">
        <v>0</v>
      </c>
      <c r="P3">
        <v>0</v>
      </c>
      <c r="Q3">
        <v>100</v>
      </c>
      <c r="R3" t="str">
        <v>true</v>
      </c>
      <c r="S3" t="str">
        <v>NA</v>
      </c>
      <c r="T3" t="str">
        <v>false</v>
      </c>
      <c r="U3" t="str">
        <v>false</v>
      </c>
      <c r="V3" t="str">
        <v>Looked like swerve malfunctioned</v>
      </c>
      <c r="W3">
        <v>3</v>
      </c>
      <c r="Y3">
        <f>SUM($N$3:$P$3)</f>
        <v>1</v>
      </c>
      <c r="AB3">
        <f>IF(B3,SUM(N3:P3),"")</f>
        <v>1</v>
      </c>
    </row>
    <row r="4" spans="1:28" x14ac:dyDescent="0.3">
      <c r="A4" t="str">
        <v>Yannis</v>
      </c>
      <c r="B4">
        <v>24</v>
      </c>
      <c r="C4" t="str">
        <v>B3</v>
      </c>
      <c r="D4">
        <v>3009</v>
      </c>
      <c r="E4" t="str">
        <v>H</v>
      </c>
      <c r="F4" t="str">
        <v>false</v>
      </c>
      <c r="G4" t="str">
        <v>true</v>
      </c>
      <c r="H4" t="str">
        <v>true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1</v>
      </c>
      <c r="O4">
        <v>3</v>
      </c>
      <c r="P4">
        <v>10</v>
      </c>
      <c r="Q4">
        <v>34</v>
      </c>
      <c r="R4" t="str">
        <v>true</v>
      </c>
      <c r="S4" t="str">
        <v>NA</v>
      </c>
      <c r="T4" t="str">
        <v>false</v>
      </c>
      <c r="U4" t="str">
        <v>false</v>
      </c>
      <c r="V4" t="str">
        <v>They were stuck on fuel, but they got freed.</v>
      </c>
      <c r="W4">
        <v>2</v>
      </c>
      <c r="Y4">
        <f>SUM($N$4:$P$4)</f>
        <v>14</v>
      </c>
      <c r="AB4">
        <f t="shared" ref="AB4:AB20" si="0">IF(B4,SUM(N4:P4),"")</f>
        <v>14</v>
      </c>
    </row>
    <row r="5" spans="1:28" x14ac:dyDescent="0.3">
      <c r="A5" t="str">
        <v>JV</v>
      </c>
      <c r="B5">
        <v>33</v>
      </c>
      <c r="C5" t="str">
        <v>R3</v>
      </c>
      <c r="D5">
        <v>3009</v>
      </c>
      <c r="E5" t="str">
        <v>H</v>
      </c>
      <c r="F5" t="str">
        <v>false</v>
      </c>
      <c r="G5" t="str">
        <v>true</v>
      </c>
      <c r="H5" t="str">
        <v>true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7</v>
      </c>
      <c r="O5">
        <v>0</v>
      </c>
      <c r="P5">
        <v>0</v>
      </c>
      <c r="Q5">
        <v>45</v>
      </c>
      <c r="R5" t="str">
        <v>false</v>
      </c>
      <c r="S5" t="str">
        <v>NA</v>
      </c>
      <c r="T5" t="str">
        <v>false</v>
      </c>
      <c r="U5" t="str">
        <v>false</v>
      </c>
      <c r="V5" t="str">
        <v>Struggled with movement over all and aim was off most of the time.</v>
      </c>
      <c r="W5">
        <v>3</v>
      </c>
      <c r="Y5">
        <f>SUM($N$5:$P$5)</f>
        <v>7</v>
      </c>
      <c r="AB5">
        <f t="shared" si="0"/>
        <v>7</v>
      </c>
    </row>
    <row r="6" spans="1:28" x14ac:dyDescent="0.3">
      <c r="A6" t="str">
        <v>Maud</v>
      </c>
      <c r="B6">
        <v>43</v>
      </c>
      <c r="C6" t="str">
        <v>B3</v>
      </c>
      <c r="D6">
        <v>3009</v>
      </c>
      <c r="E6" t="str">
        <v>H</v>
      </c>
      <c r="F6" t="str">
        <v>false</v>
      </c>
      <c r="G6" t="str">
        <v>true</v>
      </c>
      <c r="H6" t="str">
        <v>true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3</v>
      </c>
      <c r="O6">
        <v>3</v>
      </c>
      <c r="P6">
        <v>0</v>
      </c>
      <c r="Q6">
        <v>48</v>
      </c>
      <c r="R6" t="str">
        <v>false</v>
      </c>
      <c r="S6" t="str">
        <v>NA</v>
      </c>
      <c r="T6" t="str">
        <v>false</v>
      </c>
      <c r="U6" t="str">
        <v>false</v>
      </c>
      <c r="V6" t="str">
        <v>Got stuck on balls when going over ramp</v>
      </c>
      <c r="W6">
        <v>3</v>
      </c>
      <c r="Y6">
        <f>SUM($N$6:$P$6)</f>
        <v>6</v>
      </c>
      <c r="AB6">
        <f t="shared" si="0"/>
        <v>6</v>
      </c>
    </row>
    <row r="7" spans="1:28" x14ac:dyDescent="0.3">
      <c r="A7" t="str">
        <v>GD</v>
      </c>
      <c r="B7">
        <v>49</v>
      </c>
      <c r="C7" t="str">
        <v>R1</v>
      </c>
      <c r="D7">
        <v>3009</v>
      </c>
      <c r="E7" t="str">
        <v>D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No attempt</v>
      </c>
      <c r="K7" t="str">
        <v>false</v>
      </c>
      <c r="L7" t="str">
        <v>false</v>
      </c>
      <c r="M7" t="str">
        <v>false</v>
      </c>
      <c r="N7">
        <v>40</v>
      </c>
      <c r="O7">
        <v>0</v>
      </c>
      <c r="P7">
        <v>0</v>
      </c>
      <c r="Q7">
        <v>67</v>
      </c>
      <c r="R7" t="str">
        <v>false</v>
      </c>
      <c r="S7" t="str">
        <v>NA</v>
      </c>
      <c r="T7" t="str">
        <v>false</v>
      </c>
      <c r="U7" t="str">
        <v>false</v>
      </c>
      <c r="V7" t="str">
        <v>Got stuck often</v>
      </c>
      <c r="W7">
        <v>5</v>
      </c>
      <c r="Y7">
        <f>SUM($N$7:$P$7)</f>
        <v>40</v>
      </c>
      <c r="AB7">
        <f t="shared" si="0"/>
        <v>40</v>
      </c>
    </row>
    <row r="8" spans="1:28" x14ac:dyDescent="0.3">
      <c r="A8" t="str">
        <v>Yannis</v>
      </c>
      <c r="B8">
        <v>56</v>
      </c>
      <c r="C8" t="str">
        <v>B1</v>
      </c>
      <c r="D8">
        <v>3009</v>
      </c>
      <c r="E8" t="str">
        <v>H</v>
      </c>
      <c r="F8" t="str">
        <v>false</v>
      </c>
      <c r="G8" t="str">
        <v>true</v>
      </c>
      <c r="H8" t="str">
        <v>true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0</v>
      </c>
      <c r="O8">
        <v>3</v>
      </c>
      <c r="P8">
        <v>40</v>
      </c>
      <c r="Q8">
        <v>26</v>
      </c>
      <c r="R8" t="str">
        <v>false</v>
      </c>
      <c r="S8" t="str">
        <v>NA</v>
      </c>
      <c r="T8" t="str">
        <v>false</v>
      </c>
      <c r="U8" t="str">
        <v>false</v>
      </c>
      <c r="V8">
        <v>0</v>
      </c>
      <c r="W8">
        <v>2</v>
      </c>
      <c r="Y8">
        <f>SUM($N$8:$P$8)</f>
        <v>43</v>
      </c>
      <c r="AB8">
        <f t="shared" si="0"/>
        <v>43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7C5B-AE45-4A04-A606-AEC416F5AB5C}">
  <dimension ref="A1:AB33"/>
  <sheetViews>
    <sheetView topLeftCell="I1" workbookViewId="0">
      <selection activeCell="AB3" sqref="AB3:AB20"/>
    </sheetView>
  </sheetViews>
  <sheetFormatPr defaultRowHeight="14.4" x14ac:dyDescent="0.3"/>
  <sheetData>
    <row r="1" spans="1:28" x14ac:dyDescent="0.3">
      <c r="A1">
        <v>3019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 xml:space="preserve">Maud </v>
      </c>
      <c r="B3">
        <v>33</v>
      </c>
      <c r="C3" t="str">
        <v>B2</v>
      </c>
      <c r="D3">
        <v>3019</v>
      </c>
      <c r="E3" t="str">
        <v>H</v>
      </c>
      <c r="F3" t="str">
        <v>false</v>
      </c>
      <c r="G3" t="str">
        <v>true</v>
      </c>
      <c r="H3" t="str">
        <v>false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3</v>
      </c>
      <c r="O3">
        <v>42</v>
      </c>
      <c r="P3">
        <v>0</v>
      </c>
      <c r="Q3">
        <v>87</v>
      </c>
      <c r="R3" t="str">
        <v>false</v>
      </c>
      <c r="S3" t="str">
        <v>NA</v>
      </c>
      <c r="T3" t="str">
        <v>false</v>
      </c>
      <c r="U3" t="str">
        <v>false</v>
      </c>
      <c r="V3" t="str">
        <v>Not full potential of hopper</v>
      </c>
      <c r="W3">
        <v>4</v>
      </c>
      <c r="Y3">
        <f>SUM($N$3:$P$3)</f>
        <v>45</v>
      </c>
      <c r="AB3">
        <f>IF(B3,SUM(N3:P3),"")</f>
        <v>45</v>
      </c>
    </row>
    <row r="4" spans="1:28" x14ac:dyDescent="0.3">
      <c r="A4" t="str">
        <v>AA</v>
      </c>
      <c r="B4">
        <v>39</v>
      </c>
      <c r="C4" t="str">
        <v>R2</v>
      </c>
      <c r="D4">
        <v>3019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6</v>
      </c>
      <c r="O4">
        <v>9</v>
      </c>
      <c r="P4">
        <v>10</v>
      </c>
      <c r="Q4">
        <v>47</v>
      </c>
      <c r="R4" t="str">
        <v>false</v>
      </c>
      <c r="S4" t="str">
        <v>NA</v>
      </c>
      <c r="T4" t="str">
        <v>false</v>
      </c>
      <c r="U4" t="str">
        <v>false</v>
      </c>
      <c r="V4" t="str">
        <v xml:space="preserve">Decent robot just slow, no support nor defending </v>
      </c>
      <c r="W4">
        <v>3</v>
      </c>
      <c r="Y4">
        <f>SUM($N$4:$P$4)</f>
        <v>25</v>
      </c>
      <c r="AB4">
        <f t="shared" ref="AB4:AB20" si="0">IF(B4,SUM(N4:P4),"")</f>
        <v>25</v>
      </c>
    </row>
    <row r="5" spans="1:28" x14ac:dyDescent="0.3">
      <c r="A5" t="str">
        <v>Yannis</v>
      </c>
      <c r="B5">
        <v>53</v>
      </c>
      <c r="C5" t="str">
        <v>B1</v>
      </c>
      <c r="D5">
        <v>3019</v>
      </c>
      <c r="E5" t="str">
        <v>O</v>
      </c>
      <c r="F5" t="str">
        <v>false</v>
      </c>
      <c r="G5" t="str">
        <v>true</v>
      </c>
      <c r="H5" t="str">
        <v>false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1</v>
      </c>
      <c r="O5">
        <v>15</v>
      </c>
      <c r="P5">
        <v>40</v>
      </c>
      <c r="Q5">
        <v>81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56</v>
      </c>
      <c r="AB5">
        <f t="shared" si="0"/>
        <v>56</v>
      </c>
    </row>
    <row r="6" spans="1:28" x14ac:dyDescent="0.3">
      <c r="A6" t="str">
        <v>Maud</v>
      </c>
      <c r="B6">
        <v>63</v>
      </c>
      <c r="C6" t="str">
        <v>B1</v>
      </c>
      <c r="D6">
        <v>3019</v>
      </c>
      <c r="E6" t="str">
        <v>H</v>
      </c>
      <c r="F6" t="str">
        <v>false</v>
      </c>
      <c r="G6" t="str">
        <v>false</v>
      </c>
      <c r="H6" t="str">
        <v>false</v>
      </c>
      <c r="I6" t="str">
        <v>true</v>
      </c>
      <c r="J6" t="str">
        <v>NA</v>
      </c>
      <c r="K6" t="str">
        <v>true</v>
      </c>
      <c r="L6" t="str">
        <v>false</v>
      </c>
      <c r="M6" t="str">
        <v>true</v>
      </c>
      <c r="N6">
        <v>7</v>
      </c>
      <c r="O6">
        <v>12</v>
      </c>
      <c r="P6">
        <v>5</v>
      </c>
      <c r="Q6">
        <v>46</v>
      </c>
      <c r="R6" t="str">
        <v>false</v>
      </c>
      <c r="S6" t="str">
        <v>NA</v>
      </c>
      <c r="T6" t="str">
        <v>false</v>
      </c>
      <c r="U6" t="str">
        <v>false</v>
      </c>
      <c r="V6" t="str">
        <v>Bit slow, also pushing balls</v>
      </c>
      <c r="W6">
        <v>3</v>
      </c>
      <c r="Y6">
        <f>SUM($N$6:$P$6)</f>
        <v>24</v>
      </c>
      <c r="AB6">
        <f t="shared" si="0"/>
        <v>24</v>
      </c>
    </row>
    <row r="7" spans="1:28" x14ac:dyDescent="0.3">
      <c r="A7" t="str">
        <v>Joep</v>
      </c>
      <c r="B7">
        <v>77</v>
      </c>
      <c r="C7" t="str">
        <v>B3</v>
      </c>
      <c r="D7">
        <v>3019</v>
      </c>
      <c r="E7" t="str">
        <v>H</v>
      </c>
      <c r="F7" t="str">
        <v>false</v>
      </c>
      <c r="G7" t="str">
        <v>true</v>
      </c>
      <c r="H7" t="str">
        <v>false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22</v>
      </c>
      <c r="O7">
        <v>0</v>
      </c>
      <c r="P7">
        <v>15</v>
      </c>
      <c r="Q7">
        <v>80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4</v>
      </c>
      <c r="Y7">
        <f>SUM($N$7:$P$7)</f>
        <v>37</v>
      </c>
      <c r="AB7">
        <f t="shared" si="0"/>
        <v>37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8F8B-A19E-445E-85A6-C72B17C0D155}">
  <dimension ref="A1:AB33"/>
  <sheetViews>
    <sheetView topLeftCell="I1" workbookViewId="0">
      <selection activeCell="AB3" sqref="AB3:AB20"/>
    </sheetView>
  </sheetViews>
  <sheetFormatPr defaultRowHeight="14.4" x14ac:dyDescent="0.3"/>
  <sheetData>
    <row r="1" spans="1:28" x14ac:dyDescent="0.3">
      <c r="A1">
        <v>3216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TimoS</v>
      </c>
      <c r="B3">
        <v>16</v>
      </c>
      <c r="C3" t="str">
        <v>B3</v>
      </c>
      <c r="D3">
        <v>3216</v>
      </c>
      <c r="E3" t="str">
        <v>D</v>
      </c>
      <c r="F3" t="str">
        <v>false</v>
      </c>
      <c r="G3" t="str">
        <v>true</v>
      </c>
      <c r="H3" t="str">
        <v>true</v>
      </c>
      <c r="I3" t="str">
        <v>true</v>
      </c>
      <c r="J3" t="str">
        <v>No attempt</v>
      </c>
      <c r="K3" t="str">
        <v>true</v>
      </c>
      <c r="L3" t="str">
        <v>false</v>
      </c>
      <c r="M3" t="str">
        <v>false</v>
      </c>
      <c r="N3">
        <v>3</v>
      </c>
      <c r="O3">
        <v>0</v>
      </c>
      <c r="P3">
        <v>110</v>
      </c>
      <c r="Q3">
        <v>55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4</v>
      </c>
      <c r="Y3">
        <f>SUM($N$3:$P$3)</f>
        <v>113</v>
      </c>
      <c r="AB3">
        <f>IF(B3,SUM(N3:P3),"")</f>
        <v>113</v>
      </c>
    </row>
    <row r="4" spans="1:28" x14ac:dyDescent="0.3">
      <c r="A4" t="str">
        <v>BW</v>
      </c>
      <c r="B4">
        <v>23</v>
      </c>
      <c r="C4" t="str">
        <v>R1</v>
      </c>
      <c r="D4">
        <v>3216</v>
      </c>
      <c r="E4" t="str">
        <v>D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5</v>
      </c>
      <c r="O4">
        <v>21</v>
      </c>
      <c r="P4">
        <v>80</v>
      </c>
      <c r="Q4">
        <v>85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106</v>
      </c>
      <c r="AB4">
        <f t="shared" ref="AB4:AB20" si="0">IF(B4,SUM(N4:P4),"")</f>
        <v>106</v>
      </c>
    </row>
    <row r="5" spans="1:28" x14ac:dyDescent="0.3">
      <c r="A5" t="str">
        <v>Nick</v>
      </c>
      <c r="B5">
        <v>35</v>
      </c>
      <c r="C5" t="str">
        <v>B3</v>
      </c>
      <c r="D5">
        <v>3216</v>
      </c>
      <c r="E5" t="str">
        <v>D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1</v>
      </c>
      <c r="O5">
        <v>6</v>
      </c>
      <c r="P5">
        <v>80</v>
      </c>
      <c r="Q5">
        <v>79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87</v>
      </c>
      <c r="AB5">
        <f t="shared" si="0"/>
        <v>87</v>
      </c>
    </row>
    <row r="6" spans="1:28" x14ac:dyDescent="0.3">
      <c r="A6" t="str">
        <v>Maud R</v>
      </c>
      <c r="B6">
        <v>48</v>
      </c>
      <c r="C6" t="str">
        <v>B2</v>
      </c>
      <c r="D6">
        <v>3216</v>
      </c>
      <c r="E6" t="str">
        <v>D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110</v>
      </c>
      <c r="Q6">
        <v>70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5</v>
      </c>
      <c r="Y6">
        <f>SUM($N$6:$P$6)</f>
        <v>110</v>
      </c>
      <c r="AB6">
        <f t="shared" si="0"/>
        <v>110</v>
      </c>
    </row>
    <row r="7" spans="1:28" x14ac:dyDescent="0.3">
      <c r="A7" t="str">
        <v>GD</v>
      </c>
      <c r="B7">
        <v>42</v>
      </c>
      <c r="C7" t="str">
        <v>R1</v>
      </c>
      <c r="D7">
        <v>3216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No attempt</v>
      </c>
      <c r="K7" t="str">
        <v>false</v>
      </c>
      <c r="L7" t="str">
        <v>false</v>
      </c>
      <c r="M7" t="str">
        <v>false</v>
      </c>
      <c r="N7">
        <v>40</v>
      </c>
      <c r="O7">
        <v>0</v>
      </c>
      <c r="P7">
        <v>0</v>
      </c>
      <c r="Q7">
        <v>95</v>
      </c>
      <c r="R7" t="str">
        <v>true</v>
      </c>
      <c r="S7" t="str">
        <v>NA</v>
      </c>
      <c r="T7" t="str">
        <v>false</v>
      </c>
      <c r="U7" t="str">
        <v>false</v>
      </c>
      <c r="V7" t="str">
        <v>Clumsy driving</v>
      </c>
      <c r="W7">
        <v>4</v>
      </c>
      <c r="Y7">
        <f>SUM($N$7:$P$7)</f>
        <v>40</v>
      </c>
      <c r="AB7">
        <f t="shared" si="0"/>
        <v>40</v>
      </c>
    </row>
    <row r="8" spans="1:28" x14ac:dyDescent="0.3">
      <c r="A8" t="str">
        <v>AA</v>
      </c>
      <c r="B8">
        <v>73</v>
      </c>
      <c r="C8" t="str">
        <v>R2</v>
      </c>
      <c r="D8">
        <v>3216</v>
      </c>
      <c r="E8" t="str">
        <v>H</v>
      </c>
      <c r="F8" t="str">
        <v>false</v>
      </c>
      <c r="G8" t="str">
        <v>true</v>
      </c>
      <c r="H8" t="str">
        <v>true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0</v>
      </c>
      <c r="O8">
        <v>0</v>
      </c>
      <c r="P8">
        <v>80</v>
      </c>
      <c r="Q8">
        <v>92</v>
      </c>
      <c r="R8" t="str">
        <v>false</v>
      </c>
      <c r="S8" t="str">
        <v>NA</v>
      </c>
      <c r="T8" t="str">
        <v>false</v>
      </c>
      <c r="U8" t="str">
        <v>false</v>
      </c>
      <c r="V8" t="str">
        <v>Good support, good all around</v>
      </c>
      <c r="W8">
        <v>4</v>
      </c>
      <c r="Y8">
        <f>SUM($N$8:$P$8)</f>
        <v>80</v>
      </c>
      <c r="AB8">
        <f t="shared" si="0"/>
        <v>80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02BB-A253-42E8-B936-107ACBB61181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3243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Joep</v>
      </c>
      <c r="B3">
        <v>25</v>
      </c>
      <c r="C3" t="str">
        <v>B2</v>
      </c>
      <c r="D3">
        <v>3243</v>
      </c>
      <c r="E3" t="str">
        <v>D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35</v>
      </c>
      <c r="Q3">
        <v>100</v>
      </c>
      <c r="R3" t="str">
        <v>true</v>
      </c>
      <c r="S3" t="str">
        <v>NA</v>
      </c>
      <c r="T3" t="str">
        <v>false</v>
      </c>
      <c r="U3" t="str">
        <v>false</v>
      </c>
      <c r="V3" t="str">
        <v>Intake didn't work after a while</v>
      </c>
      <c r="W3">
        <v>5</v>
      </c>
      <c r="Y3">
        <f>SUM($N$3:$P$3)</f>
        <v>35</v>
      </c>
      <c r="AB3">
        <f>IF(B3,SUM(N3:P3),"")</f>
        <v>35</v>
      </c>
    </row>
    <row r="4" spans="1:28" x14ac:dyDescent="0.3">
      <c r="A4" t="str">
        <v>GD</v>
      </c>
      <c r="B4">
        <v>31</v>
      </c>
      <c r="C4" t="str">
        <v>R1</v>
      </c>
      <c r="D4">
        <v>3243</v>
      </c>
      <c r="E4" t="str">
        <v>D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true</v>
      </c>
      <c r="N4">
        <v>54</v>
      </c>
      <c r="O4">
        <v>0</v>
      </c>
      <c r="P4">
        <v>0</v>
      </c>
      <c r="Q4">
        <v>71</v>
      </c>
      <c r="R4" t="str">
        <v>false</v>
      </c>
      <c r="S4" t="str">
        <v>NA</v>
      </c>
      <c r="T4" t="str">
        <v>false</v>
      </c>
      <c r="U4" t="str">
        <v>false</v>
      </c>
      <c r="V4" t="str">
        <v>Just scatter shots</v>
      </c>
      <c r="W4">
        <v>4</v>
      </c>
      <c r="Y4">
        <f>SUM($N$4:$P$4)</f>
        <v>54</v>
      </c>
      <c r="AB4">
        <f t="shared" ref="AB4:AB20" si="0">IF(B4,SUM(N4:P4),"")</f>
        <v>54</v>
      </c>
    </row>
    <row r="5" spans="1:28" x14ac:dyDescent="0.3">
      <c r="A5" t="str">
        <v>TimoS</v>
      </c>
      <c r="B5">
        <v>38</v>
      </c>
      <c r="C5" t="str">
        <v>B2</v>
      </c>
      <c r="D5">
        <v>3243</v>
      </c>
      <c r="E5" t="str">
        <v>O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2</v>
      </c>
      <c r="O5">
        <v>3</v>
      </c>
      <c r="P5">
        <v>110</v>
      </c>
      <c r="Q5">
        <v>70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115</v>
      </c>
      <c r="AB5">
        <f t="shared" si="0"/>
        <v>115</v>
      </c>
    </row>
    <row r="6" spans="1:28" x14ac:dyDescent="0.3">
      <c r="A6" t="str">
        <v>Jippe</v>
      </c>
      <c r="B6">
        <v>52</v>
      </c>
      <c r="C6" t="str">
        <v>R2</v>
      </c>
      <c r="D6">
        <v>3243</v>
      </c>
      <c r="E6" t="str">
        <v>O</v>
      </c>
      <c r="F6" t="str">
        <v>false</v>
      </c>
      <c r="G6" t="str">
        <v>true</v>
      </c>
      <c r="H6" t="str">
        <v>true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3</v>
      </c>
      <c r="P6">
        <v>5</v>
      </c>
      <c r="Q6">
        <v>100</v>
      </c>
      <c r="R6" t="str">
        <v>false</v>
      </c>
      <c r="S6" t="str">
        <v>NA</v>
      </c>
      <c r="T6" t="str">
        <v>true</v>
      </c>
      <c r="U6" t="str">
        <v>false</v>
      </c>
      <c r="V6">
        <v>0</v>
      </c>
      <c r="W6">
        <v>5</v>
      </c>
      <c r="Y6">
        <f>SUM($N$6:$P$6)</f>
        <v>8</v>
      </c>
      <c r="AB6">
        <f t="shared" si="0"/>
        <v>8</v>
      </c>
    </row>
    <row r="7" spans="1:28" x14ac:dyDescent="0.3">
      <c r="A7" t="str">
        <v>Maud</v>
      </c>
      <c r="B7">
        <v>62</v>
      </c>
      <c r="C7" t="str">
        <v>B3</v>
      </c>
      <c r="D7">
        <v>3243</v>
      </c>
      <c r="E7" t="str">
        <v>O</v>
      </c>
      <c r="F7" t="str">
        <v>true</v>
      </c>
      <c r="G7" t="str">
        <v>false</v>
      </c>
      <c r="H7" t="str">
        <v>false</v>
      </c>
      <c r="I7" t="str">
        <v>false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No Attempt</v>
      </c>
      <c r="T7" t="str">
        <v>false</v>
      </c>
      <c r="U7" t="str">
        <v>false</v>
      </c>
      <c r="V7">
        <v>0</v>
      </c>
      <c r="W7">
        <v>5</v>
      </c>
      <c r="Y7">
        <f>SUM($N$7:$P$7)</f>
        <v>0</v>
      </c>
      <c r="AB7">
        <f t="shared" si="0"/>
        <v>0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A1D9-5644-4ABA-B64E-310EFDE74CA9}">
  <dimension ref="A1:AB33"/>
  <sheetViews>
    <sheetView topLeftCell="G1" workbookViewId="0">
      <selection activeCell="AB3" sqref="AB3:AB20"/>
    </sheetView>
  </sheetViews>
  <sheetFormatPr defaultRowHeight="14.4" x14ac:dyDescent="0.3"/>
  <sheetData>
    <row r="1" spans="1:28" x14ac:dyDescent="0.3">
      <c r="A1">
        <v>3245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Joep</v>
      </c>
      <c r="B3">
        <v>9</v>
      </c>
      <c r="C3" t="str">
        <v>B2</v>
      </c>
      <c r="D3">
        <v>3245</v>
      </c>
      <c r="E3" t="str">
        <v>O</v>
      </c>
      <c r="F3" t="str">
        <v>false</v>
      </c>
      <c r="G3" t="str">
        <v>false</v>
      </c>
      <c r="H3" t="str">
        <v>true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55</v>
      </c>
      <c r="Q3">
        <v>95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5</v>
      </c>
      <c r="Y3">
        <f>SUM($N$3:$P$3)</f>
        <v>55</v>
      </c>
      <c r="AB3">
        <f>IF(B3,SUM(N3:P3),"")</f>
        <v>55</v>
      </c>
    </row>
    <row r="4" spans="1:28" x14ac:dyDescent="0.3">
      <c r="A4" t="str">
        <v>GD</v>
      </c>
      <c r="B4">
        <v>27</v>
      </c>
      <c r="C4" t="str">
        <v>R1</v>
      </c>
      <c r="D4">
        <v>3245</v>
      </c>
      <c r="E4" t="str">
        <v>D</v>
      </c>
      <c r="F4" t="str">
        <v>false</v>
      </c>
      <c r="G4" t="str">
        <v>true</v>
      </c>
      <c r="H4" t="str">
        <v>true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32</v>
      </c>
      <c r="O4">
        <v>18</v>
      </c>
      <c r="P4">
        <v>0</v>
      </c>
      <c r="Q4">
        <v>78</v>
      </c>
      <c r="R4" t="str">
        <v>true</v>
      </c>
      <c r="S4" t="str">
        <v>No Attempt</v>
      </c>
      <c r="T4" t="str">
        <v>false</v>
      </c>
      <c r="U4" t="str">
        <v>false</v>
      </c>
      <c r="V4">
        <v>0</v>
      </c>
      <c r="W4">
        <v>3</v>
      </c>
      <c r="Y4">
        <f>SUM($N$4:$P$4)</f>
        <v>50</v>
      </c>
      <c r="AB4">
        <f t="shared" ref="AB4:AB20" si="0">IF(B4,SUM(N4:P4),"")</f>
        <v>50</v>
      </c>
    </row>
    <row r="5" spans="1:28" x14ac:dyDescent="0.3">
      <c r="A5" t="str">
        <v>Nick</v>
      </c>
      <c r="B5">
        <v>34</v>
      </c>
      <c r="C5" t="str">
        <v>B3</v>
      </c>
      <c r="D5">
        <v>3245</v>
      </c>
      <c r="E5" t="str">
        <v>D</v>
      </c>
      <c r="F5" t="str">
        <v>false</v>
      </c>
      <c r="G5" t="str">
        <v>true</v>
      </c>
      <c r="H5" t="str">
        <v>false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5</v>
      </c>
      <c r="O5">
        <v>3</v>
      </c>
      <c r="P5">
        <v>130</v>
      </c>
      <c r="Q5">
        <v>70</v>
      </c>
      <c r="R5" t="str">
        <v>false</v>
      </c>
      <c r="S5" t="str">
        <v>NA</v>
      </c>
      <c r="T5" t="str">
        <v>false</v>
      </c>
      <c r="U5" t="str">
        <v>false</v>
      </c>
      <c r="V5" t="str">
        <v>Great shooting, bit too hasty</v>
      </c>
      <c r="W5">
        <v>4</v>
      </c>
      <c r="Y5">
        <f>SUM($N$5:$P$5)</f>
        <v>138</v>
      </c>
      <c r="AB5">
        <f t="shared" si="0"/>
        <v>138</v>
      </c>
    </row>
    <row r="6" spans="1:28" x14ac:dyDescent="0.3">
      <c r="A6" t="str">
        <v>GD</v>
      </c>
      <c r="B6">
        <v>51</v>
      </c>
      <c r="C6" t="str">
        <v>R1</v>
      </c>
      <c r="D6">
        <v>3245</v>
      </c>
      <c r="E6" t="str">
        <v>H</v>
      </c>
      <c r="F6" t="str">
        <v>false</v>
      </c>
      <c r="G6" t="str">
        <v>true</v>
      </c>
      <c r="H6" t="str">
        <v>true</v>
      </c>
      <c r="I6" t="str">
        <v>true</v>
      </c>
      <c r="J6" t="str">
        <v>No attempt</v>
      </c>
      <c r="K6" t="str">
        <v>true</v>
      </c>
      <c r="L6" t="str">
        <v>false</v>
      </c>
      <c r="M6" t="str">
        <v>false</v>
      </c>
      <c r="N6">
        <v>27</v>
      </c>
      <c r="O6">
        <v>0</v>
      </c>
      <c r="P6">
        <v>0</v>
      </c>
      <c r="Q6">
        <v>61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3</v>
      </c>
      <c r="Y6">
        <f>SUM($N$6:$P$6)</f>
        <v>27</v>
      </c>
      <c r="AB6">
        <f t="shared" si="0"/>
        <v>27</v>
      </c>
    </row>
    <row r="7" spans="1:28" x14ac:dyDescent="0.3">
      <c r="A7" t="str">
        <v>GD</v>
      </c>
      <c r="B7">
        <v>65</v>
      </c>
      <c r="C7" t="str">
        <v>R1</v>
      </c>
      <c r="D7">
        <v>3245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No attempt</v>
      </c>
      <c r="K7" t="str">
        <v>true</v>
      </c>
      <c r="L7" t="str">
        <v>false</v>
      </c>
      <c r="M7" t="str">
        <v>true</v>
      </c>
      <c r="N7">
        <v>45</v>
      </c>
      <c r="O7">
        <v>0</v>
      </c>
      <c r="P7">
        <v>0</v>
      </c>
      <c r="Q7">
        <v>73</v>
      </c>
      <c r="R7" t="str">
        <v>false</v>
      </c>
      <c r="S7" t="str">
        <v>NA</v>
      </c>
      <c r="T7" t="str">
        <v>false</v>
      </c>
      <c r="U7" t="str">
        <v>false</v>
      </c>
      <c r="V7" t="str">
        <v>Resourceful</v>
      </c>
      <c r="W7">
        <v>4</v>
      </c>
      <c r="Y7">
        <f>SUM($N$7:$P$7)</f>
        <v>45</v>
      </c>
      <c r="AB7">
        <f t="shared" si="0"/>
        <v>45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6A92-9171-4FA7-937B-B24D2F2E4F45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3424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Jippe</v>
      </c>
      <c r="B3">
        <v>3</v>
      </c>
      <c r="C3" t="str">
        <v>R2</v>
      </c>
      <c r="D3">
        <v>3424</v>
      </c>
      <c r="E3" t="str">
        <v>H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>Maud</v>
      </c>
      <c r="B4">
        <v>10</v>
      </c>
      <c r="C4" t="str">
        <v>B3</v>
      </c>
      <c r="D4">
        <v>3424</v>
      </c>
      <c r="E4" t="str">
        <v>O</v>
      </c>
      <c r="F4" t="str">
        <v>true</v>
      </c>
      <c r="G4" t="str">
        <v>false</v>
      </c>
      <c r="H4" t="str">
        <v>false</v>
      </c>
      <c r="I4" t="str">
        <v>false</v>
      </c>
      <c r="J4" t="str">
        <v>No attempt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JV</v>
      </c>
      <c r="B5">
        <v>25</v>
      </c>
      <c r="C5" t="str">
        <v>R3</v>
      </c>
      <c r="D5">
        <v>3424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>
        <v>0</v>
      </c>
      <c r="K5" t="str">
        <v>true</v>
      </c>
      <c r="L5" t="str">
        <v>false</v>
      </c>
      <c r="M5" t="str">
        <v>false</v>
      </c>
      <c r="N5">
        <v>25</v>
      </c>
      <c r="O5">
        <v>0</v>
      </c>
      <c r="P5">
        <v>0</v>
      </c>
      <c r="Q5">
        <v>75</v>
      </c>
      <c r="R5" t="str">
        <v>false</v>
      </c>
      <c r="S5" t="str">
        <v>NA</v>
      </c>
      <c r="T5" t="str">
        <v>false</v>
      </c>
      <c r="U5" t="str">
        <v>false</v>
      </c>
      <c r="V5" t="str">
        <v>Over all most of the robot is pretty average.</v>
      </c>
      <c r="W5">
        <v>4</v>
      </c>
      <c r="Y5">
        <f>SUM($N$5:$P$5)</f>
        <v>25</v>
      </c>
      <c r="AB5">
        <f t="shared" si="0"/>
        <v>25</v>
      </c>
    </row>
    <row r="6" spans="1:28" x14ac:dyDescent="0.3">
      <c r="A6" t="str">
        <v>AA</v>
      </c>
      <c r="B6">
        <v>36</v>
      </c>
      <c r="C6" t="str">
        <v>R2</v>
      </c>
      <c r="D6">
        <v>3424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3</v>
      </c>
      <c r="O6">
        <v>6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 xml:space="preserve">Decent everywhere, good support and did some defending </v>
      </c>
      <c r="W6">
        <v>3</v>
      </c>
      <c r="Y6">
        <f>SUM($N$6:$P$6)</f>
        <v>9</v>
      </c>
      <c r="AB6">
        <f t="shared" si="0"/>
        <v>9</v>
      </c>
    </row>
    <row r="7" spans="1:28" x14ac:dyDescent="0.3">
      <c r="A7" t="str">
        <v>Yannis</v>
      </c>
      <c r="B7">
        <v>54</v>
      </c>
      <c r="C7" t="str">
        <v>B1</v>
      </c>
      <c r="D7">
        <v>3424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18</v>
      </c>
      <c r="P7">
        <v>15</v>
      </c>
      <c r="Q7">
        <v>58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3</v>
      </c>
      <c r="Y7">
        <f>SUM($N$7:$P$7)</f>
        <v>33</v>
      </c>
      <c r="AB7">
        <f t="shared" si="0"/>
        <v>33</v>
      </c>
    </row>
    <row r="8" spans="1:28" x14ac:dyDescent="0.3">
      <c r="A8" t="str">
        <v>AA</v>
      </c>
      <c r="B8">
        <v>67</v>
      </c>
      <c r="C8" t="str">
        <v>R2</v>
      </c>
      <c r="D8">
        <v>3424</v>
      </c>
      <c r="E8" t="str">
        <v>H</v>
      </c>
      <c r="F8" t="str">
        <v>false</v>
      </c>
      <c r="G8" t="str">
        <v>true</v>
      </c>
      <c r="H8" t="str">
        <v>false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2</v>
      </c>
      <c r="O8">
        <v>6</v>
      </c>
      <c r="P8">
        <v>5</v>
      </c>
      <c r="Q8">
        <v>77</v>
      </c>
      <c r="R8" t="str">
        <v>false</v>
      </c>
      <c r="S8" t="str">
        <v>NA</v>
      </c>
      <c r="T8" t="str">
        <v>false</v>
      </c>
      <c r="U8" t="str">
        <v>false</v>
      </c>
      <c r="V8" t="str">
        <v xml:space="preserve">Poor intake but good support </v>
      </c>
      <c r="W8">
        <v>3</v>
      </c>
      <c r="Y8">
        <f>SUM($N$8:$P$8)</f>
        <v>13</v>
      </c>
      <c r="AB8">
        <f t="shared" si="0"/>
        <v>13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E2A7-4381-4D1A-BE51-77E1E9CB3D1B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3944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6">_xlfn._xlws.FILTER(Tabel1[], Tabel1[Team Number]=A1, "Geen resultaten")</f>
        <v>LeoV</v>
      </c>
      <c r="B3">
        <v>5</v>
      </c>
      <c r="C3" t="str">
        <v>B1</v>
      </c>
      <c r="D3">
        <v>3944</v>
      </c>
      <c r="E3" t="str">
        <v>D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</v>
      </c>
      <c r="R3" t="str">
        <v>false</v>
      </c>
      <c r="S3" t="str">
        <v>NA</v>
      </c>
      <c r="T3" t="str">
        <v>true</v>
      </c>
      <c r="U3" t="str">
        <v>false</v>
      </c>
      <c r="V3">
        <v>0</v>
      </c>
      <c r="W3">
        <v>3</v>
      </c>
      <c r="Y3">
        <f>SUM($N$3:$P$3)</f>
        <v>0</v>
      </c>
      <c r="AB3">
        <f>IF(B3,SUM(N3:P3),"")</f>
        <v>0</v>
      </c>
    </row>
    <row r="4" spans="1:28" x14ac:dyDescent="0.3">
      <c r="A4" t="str">
        <v>JV</v>
      </c>
      <c r="B4">
        <v>50</v>
      </c>
      <c r="C4" t="str">
        <v>R3</v>
      </c>
      <c r="D4">
        <v>3944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2</v>
      </c>
      <c r="O4">
        <v>0</v>
      </c>
      <c r="P4">
        <v>0</v>
      </c>
      <c r="Q4">
        <v>20</v>
      </c>
      <c r="R4" t="str">
        <v>false</v>
      </c>
      <c r="S4" t="str">
        <v>NA</v>
      </c>
      <c r="T4" t="str">
        <v>false</v>
      </c>
      <c r="U4" t="str">
        <v>false</v>
      </c>
      <c r="V4" t="str">
        <v>Mainly focused on ball feeding</v>
      </c>
      <c r="W4">
        <v>5</v>
      </c>
      <c r="Y4">
        <f>SUM($N$4:$P$4)</f>
        <v>2</v>
      </c>
      <c r="AB4">
        <f t="shared" ref="AB4:AB20" si="0">IF(B4,SUM(N4:P4),"")</f>
        <v>2</v>
      </c>
    </row>
    <row r="5" spans="1:28" x14ac:dyDescent="0.3">
      <c r="A5" t="str">
        <v>BW</v>
      </c>
      <c r="B5">
        <v>64</v>
      </c>
      <c r="C5" t="str">
        <v>R1</v>
      </c>
      <c r="D5">
        <v>3944</v>
      </c>
      <c r="E5" t="str">
        <v>O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3</v>
      </c>
      <c r="O5">
        <v>0</v>
      </c>
      <c r="P5">
        <v>0</v>
      </c>
      <c r="Q5">
        <v>65</v>
      </c>
      <c r="R5" t="str">
        <v>true</v>
      </c>
      <c r="S5" t="str">
        <v>NA</v>
      </c>
      <c r="T5" t="str">
        <v>false</v>
      </c>
      <c r="U5" t="str">
        <v>false</v>
      </c>
      <c r="V5">
        <v>0</v>
      </c>
      <c r="W5">
        <v>3</v>
      </c>
      <c r="Y5">
        <f>SUM($N$5:$P$5)</f>
        <v>3</v>
      </c>
      <c r="AB5">
        <f t="shared" si="0"/>
        <v>3</v>
      </c>
    </row>
    <row r="6" spans="1:28" x14ac:dyDescent="0.3">
      <c r="A6" t="str">
        <v>Jippe</v>
      </c>
      <c r="B6">
        <v>73</v>
      </c>
      <c r="C6" t="str">
        <v>R3</v>
      </c>
      <c r="D6">
        <v>3944</v>
      </c>
      <c r="E6" t="str">
        <v>O</v>
      </c>
      <c r="F6" t="str">
        <v>false</v>
      </c>
      <c r="G6" t="str">
        <v>false</v>
      </c>
      <c r="H6" t="str">
        <v>false</v>
      </c>
      <c r="I6" t="str">
        <v>false</v>
      </c>
      <c r="J6" t="str">
        <v>No attempt</v>
      </c>
      <c r="K6" t="str">
        <v>false</v>
      </c>
      <c r="L6" t="str">
        <v>false</v>
      </c>
      <c r="M6" t="str">
        <v>false</v>
      </c>
      <c r="N6">
        <v>2</v>
      </c>
      <c r="O6">
        <v>6</v>
      </c>
      <c r="P6">
        <v>0</v>
      </c>
      <c r="Q6">
        <v>82</v>
      </c>
      <c r="R6" t="str">
        <v>false</v>
      </c>
      <c r="S6" t="str">
        <v>No Attempt</v>
      </c>
      <c r="T6" t="str">
        <v>true</v>
      </c>
      <c r="U6" t="str">
        <v>false</v>
      </c>
      <c r="V6">
        <v>0</v>
      </c>
      <c r="W6">
        <v>2</v>
      </c>
      <c r="Y6">
        <f>SUM($N$6:$P$6)</f>
        <v>8</v>
      </c>
      <c r="AB6">
        <f t="shared" si="0"/>
        <v>8</v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76AF-BDF8-4301-A80A-62E3E8DCFE63}">
  <dimension ref="A1:AB33"/>
  <sheetViews>
    <sheetView topLeftCell="U1" workbookViewId="0">
      <selection activeCell="AB3" sqref="AB3:AB20"/>
    </sheetView>
  </sheetViews>
  <sheetFormatPr defaultRowHeight="14.4" x14ac:dyDescent="0.3"/>
  <sheetData>
    <row r="1" spans="1:28" x14ac:dyDescent="0.3">
      <c r="A1">
        <v>4146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6">_xlfn._xlws.FILTER(Tabel1[], Tabel1[Team Number]=A1, "Geen resultaten")</f>
        <v>BW</v>
      </c>
      <c r="B3">
        <v>26</v>
      </c>
      <c r="C3" t="str">
        <v>R1</v>
      </c>
      <c r="D3">
        <v>4146</v>
      </c>
      <c r="E3" t="str">
        <v>D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2</v>
      </c>
      <c r="O3">
        <v>3</v>
      </c>
      <c r="P3">
        <v>0</v>
      </c>
      <c r="Q3">
        <v>50</v>
      </c>
      <c r="R3" t="str">
        <v>false</v>
      </c>
      <c r="S3" t="str">
        <v>A</v>
      </c>
      <c r="T3" t="str">
        <v>false</v>
      </c>
      <c r="U3" t="str">
        <v>false</v>
      </c>
      <c r="V3">
        <v>0</v>
      </c>
      <c r="W3">
        <v>2</v>
      </c>
      <c r="Y3">
        <f>SUM($N$3:$P$3)</f>
        <v>5</v>
      </c>
      <c r="AB3">
        <f>IF(B3,SUM(N3:P3),"")</f>
        <v>5</v>
      </c>
    </row>
    <row r="4" spans="1:28" x14ac:dyDescent="0.3">
      <c r="A4" t="str">
        <v xml:space="preserve">Maud </v>
      </c>
      <c r="B4">
        <v>36</v>
      </c>
      <c r="C4" t="str">
        <v>B2</v>
      </c>
      <c r="D4">
        <v>4146</v>
      </c>
      <c r="E4" t="str">
        <v>D</v>
      </c>
      <c r="F4" t="str">
        <v>false</v>
      </c>
      <c r="G4" t="str">
        <v>false</v>
      </c>
      <c r="H4" t="str">
        <v>false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</v>
      </c>
      <c r="R4" t="str">
        <v>false</v>
      </c>
      <c r="S4" t="str">
        <v>NA</v>
      </c>
      <c r="T4" t="str">
        <v>false</v>
      </c>
      <c r="U4" t="str">
        <v>false</v>
      </c>
      <c r="V4" t="str">
        <v>Did nothing</v>
      </c>
      <c r="W4">
        <v>3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Jippe</v>
      </c>
      <c r="B5">
        <v>46</v>
      </c>
      <c r="C5" t="str">
        <v>B1</v>
      </c>
      <c r="D5">
        <v>4146</v>
      </c>
      <c r="E5" t="str">
        <v>O</v>
      </c>
      <c r="F5" t="str">
        <v>false</v>
      </c>
      <c r="G5" t="str">
        <v>false</v>
      </c>
      <c r="H5" t="str">
        <v>false</v>
      </c>
      <c r="I5" t="str">
        <v>false</v>
      </c>
      <c r="J5" t="str">
        <v>No attempt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true</v>
      </c>
      <c r="S5" t="str">
        <v>NA</v>
      </c>
      <c r="T5" t="str">
        <v>false</v>
      </c>
      <c r="U5" t="str">
        <v>false</v>
      </c>
      <c r="V5">
        <v>0</v>
      </c>
      <c r="W5">
        <v>3</v>
      </c>
      <c r="Y5">
        <f>SUM($N$5:$P$5)</f>
        <v>0</v>
      </c>
      <c r="AB5">
        <f t="shared" si="0"/>
        <v>0</v>
      </c>
    </row>
    <row r="6" spans="1:28" x14ac:dyDescent="0.3">
      <c r="A6" t="str">
        <v>Maud R</v>
      </c>
      <c r="B6">
        <v>53</v>
      </c>
      <c r="C6" t="str">
        <v>B3</v>
      </c>
      <c r="D6">
        <v>4146</v>
      </c>
      <c r="E6" t="str">
        <v>D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25</v>
      </c>
      <c r="Q6">
        <v>50</v>
      </c>
      <c r="R6" t="str">
        <v>true</v>
      </c>
      <c r="S6" t="str">
        <v>NA</v>
      </c>
      <c r="T6" t="str">
        <v>false</v>
      </c>
      <c r="U6" t="str">
        <v>false</v>
      </c>
      <c r="V6">
        <v>0</v>
      </c>
      <c r="W6">
        <v>3</v>
      </c>
      <c r="Y6">
        <f>SUM($N$6:$P$6)</f>
        <v>25</v>
      </c>
      <c r="AB6">
        <f t="shared" si="0"/>
        <v>25</v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CF1E-2DB8-452A-ACF1-F86538DE9C82}">
  <dimension ref="A1:AB33"/>
  <sheetViews>
    <sheetView topLeftCell="H1" workbookViewId="0">
      <selection activeCell="AB3" sqref="AB3:AB20"/>
    </sheetView>
  </sheetViews>
  <sheetFormatPr defaultRowHeight="14.4" x14ac:dyDescent="0.3"/>
  <sheetData>
    <row r="1" spans="1:28" x14ac:dyDescent="0.3">
      <c r="A1">
        <v>4731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JV</v>
      </c>
      <c r="B3">
        <v>18</v>
      </c>
      <c r="C3" t="str">
        <v>R3</v>
      </c>
      <c r="D3">
        <v>4731</v>
      </c>
      <c r="E3" t="str">
        <v>H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true</v>
      </c>
      <c r="M3" t="str">
        <v>false</v>
      </c>
      <c r="N3">
        <v>31</v>
      </c>
      <c r="O3">
        <v>0</v>
      </c>
      <c r="P3">
        <v>0</v>
      </c>
      <c r="Q3">
        <v>86</v>
      </c>
      <c r="R3" t="str">
        <v>false</v>
      </c>
      <c r="S3">
        <v>1</v>
      </c>
      <c r="T3" t="str">
        <v>false</v>
      </c>
      <c r="U3" t="str">
        <v>false</v>
      </c>
      <c r="V3" t="str">
        <v>Driver had great control and was even able climb the latter</v>
      </c>
      <c r="W3">
        <v>5</v>
      </c>
      <c r="Y3">
        <f>SUM($N$3:$P$3)</f>
        <v>31</v>
      </c>
      <c r="AB3">
        <f>IF(B3,SUM(N3:P3),"")</f>
        <v>31</v>
      </c>
    </row>
    <row r="4" spans="1:28" x14ac:dyDescent="0.3">
      <c r="A4" t="str">
        <v>BW</v>
      </c>
      <c r="B4">
        <v>28</v>
      </c>
      <c r="C4" t="str">
        <v>R1</v>
      </c>
      <c r="D4">
        <v>4731</v>
      </c>
      <c r="E4" t="str">
        <v>D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7</v>
      </c>
      <c r="O4">
        <v>12</v>
      </c>
      <c r="P4">
        <v>5</v>
      </c>
      <c r="Q4">
        <v>70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3</v>
      </c>
      <c r="Y4">
        <f>SUM($N$4:$P$4)</f>
        <v>24</v>
      </c>
      <c r="AB4">
        <f t="shared" ref="AB4:AB20" si="0">IF(B4,SUM(N4:P4),"")</f>
        <v>24</v>
      </c>
    </row>
    <row r="5" spans="1:28" x14ac:dyDescent="0.3">
      <c r="A5" t="str">
        <v>GD</v>
      </c>
      <c r="B5">
        <v>36</v>
      </c>
      <c r="C5" t="str">
        <v>R1</v>
      </c>
      <c r="D5">
        <v>4731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62</v>
      </c>
      <c r="O5">
        <v>0</v>
      </c>
      <c r="P5">
        <v>0</v>
      </c>
      <c r="Q5">
        <v>32</v>
      </c>
      <c r="R5" t="str">
        <v>false</v>
      </c>
      <c r="S5" t="str">
        <v>NA</v>
      </c>
      <c r="T5" t="str">
        <v>false</v>
      </c>
      <c r="U5" t="str">
        <v>false</v>
      </c>
      <c r="V5" t="str">
        <v>No ball land</v>
      </c>
      <c r="W5">
        <v>3</v>
      </c>
      <c r="Y5">
        <f>SUM($N$5:$P$5)</f>
        <v>62</v>
      </c>
      <c r="AB5">
        <f t="shared" si="0"/>
        <v>62</v>
      </c>
    </row>
    <row r="6" spans="1:28" x14ac:dyDescent="0.3">
      <c r="A6" t="str">
        <v>Anita Karki</v>
      </c>
      <c r="B6">
        <v>48</v>
      </c>
      <c r="C6" t="str">
        <v>B3</v>
      </c>
      <c r="D6">
        <v>4731</v>
      </c>
      <c r="E6" t="str">
        <v>H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4</v>
      </c>
      <c r="O6">
        <v>3</v>
      </c>
      <c r="P6">
        <v>50</v>
      </c>
      <c r="Q6">
        <v>68</v>
      </c>
      <c r="R6" t="str">
        <v>false</v>
      </c>
      <c r="S6" t="str">
        <v>No Attempt</v>
      </c>
      <c r="T6" t="str">
        <v>false</v>
      </c>
      <c r="U6" t="str">
        <v>false</v>
      </c>
      <c r="V6">
        <v>0</v>
      </c>
      <c r="W6">
        <v>3</v>
      </c>
      <c r="Y6">
        <f>SUM($N$6:$P$6)</f>
        <v>57</v>
      </c>
      <c r="AB6">
        <f t="shared" si="0"/>
        <v>57</v>
      </c>
    </row>
    <row r="7" spans="1:28" x14ac:dyDescent="0.3">
      <c r="A7" t="str">
        <v>JV</v>
      </c>
      <c r="B7">
        <v>66</v>
      </c>
      <c r="C7" t="str">
        <v>R3</v>
      </c>
      <c r="D7">
        <v>4731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18</v>
      </c>
      <c r="O7">
        <v>0</v>
      </c>
      <c r="P7">
        <v>0</v>
      </c>
      <c r="Q7">
        <v>70</v>
      </c>
      <c r="R7" t="str">
        <v>false</v>
      </c>
      <c r="S7" t="str">
        <v>NA</v>
      </c>
      <c r="T7" t="str">
        <v>false</v>
      </c>
      <c r="U7" t="str">
        <v>false</v>
      </c>
      <c r="V7" t="str">
        <v>Mostly just stayed on their side and tried to shoot</v>
      </c>
      <c r="W7">
        <v>3</v>
      </c>
      <c r="Y7">
        <f>SUM($N$7:$P$7)</f>
        <v>18</v>
      </c>
      <c r="AB7">
        <f t="shared" si="0"/>
        <v>18</v>
      </c>
    </row>
    <row r="8" spans="1:28" x14ac:dyDescent="0.3">
      <c r="A8" t="str">
        <v>Maud</v>
      </c>
      <c r="B8">
        <v>77</v>
      </c>
      <c r="C8" t="str">
        <v>B2</v>
      </c>
      <c r="D8">
        <v>4731</v>
      </c>
      <c r="E8" t="str">
        <v>H</v>
      </c>
      <c r="F8" t="str">
        <v>false</v>
      </c>
      <c r="G8" t="str">
        <v>true</v>
      </c>
      <c r="H8" t="str">
        <v>true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2</v>
      </c>
      <c r="O8">
        <v>9</v>
      </c>
      <c r="P8">
        <v>55</v>
      </c>
      <c r="Q8">
        <v>82</v>
      </c>
      <c r="R8" t="str">
        <v>false</v>
      </c>
      <c r="S8" t="str">
        <v>NA</v>
      </c>
      <c r="T8" t="str">
        <v>false</v>
      </c>
      <c r="U8" t="str">
        <v>false</v>
      </c>
      <c r="V8" t="str">
        <v xml:space="preserve">Good bot </v>
      </c>
      <c r="W8">
        <v>5</v>
      </c>
      <c r="Y8">
        <f>SUM($N$8:$P$8)</f>
        <v>66</v>
      </c>
      <c r="AB8">
        <f t="shared" si="0"/>
        <v>66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F15C-77D1-46D0-8B53-095AD00B6D46}">
  <dimension ref="A1:AB33"/>
  <sheetViews>
    <sheetView topLeftCell="I1" workbookViewId="0">
      <selection activeCell="AB3" sqref="AB3:AB20"/>
    </sheetView>
  </sheetViews>
  <sheetFormatPr defaultRowHeight="14.4" x14ac:dyDescent="0.3"/>
  <sheetData>
    <row r="1" spans="1:28" x14ac:dyDescent="0.3">
      <c r="A1">
        <v>5933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LeoV</v>
      </c>
      <c r="B3">
        <v>10</v>
      </c>
      <c r="C3" t="str">
        <v>R3</v>
      </c>
      <c r="D3">
        <v>5933</v>
      </c>
      <c r="E3" t="str">
        <v>D</v>
      </c>
      <c r="F3" t="str">
        <v>false</v>
      </c>
      <c r="G3" t="str">
        <v>true</v>
      </c>
      <c r="H3" t="str">
        <v>false</v>
      </c>
      <c r="I3" t="str">
        <v>false</v>
      </c>
      <c r="J3">
        <v>0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2</v>
      </c>
      <c r="R3" t="str">
        <v>true</v>
      </c>
      <c r="S3" t="str">
        <v>NA</v>
      </c>
      <c r="T3" t="str">
        <v>false</v>
      </c>
      <c r="U3" t="str">
        <v>false</v>
      </c>
      <c r="V3">
        <v>0</v>
      </c>
      <c r="W3">
        <v>3</v>
      </c>
      <c r="Y3">
        <f>SUM($N$3:$P$3)</f>
        <v>0</v>
      </c>
      <c r="AB3">
        <f>IF(B3,SUM(N3:P3),"")</f>
        <v>0</v>
      </c>
    </row>
    <row r="4" spans="1:28" x14ac:dyDescent="0.3">
      <c r="A4" t="str">
        <v>JV</v>
      </c>
      <c r="B4">
        <v>26</v>
      </c>
      <c r="C4" t="str">
        <v>R3</v>
      </c>
      <c r="D4">
        <v>5933</v>
      </c>
      <c r="E4" t="str">
        <v>H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true</v>
      </c>
      <c r="N4">
        <v>0</v>
      </c>
      <c r="O4">
        <v>0</v>
      </c>
      <c r="P4">
        <v>0</v>
      </c>
      <c r="Q4">
        <v>100</v>
      </c>
      <c r="R4" t="str">
        <v>true</v>
      </c>
      <c r="S4" t="str">
        <v>NA</v>
      </c>
      <c r="T4" t="str">
        <v>false</v>
      </c>
      <c r="U4" t="str">
        <v>false</v>
      </c>
      <c r="V4" t="str">
        <v>Over all stayed on defense and ball collectio shooting outside of teleop</v>
      </c>
      <c r="W4">
        <v>4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Anita Karki</v>
      </c>
      <c r="B5">
        <v>34</v>
      </c>
      <c r="C5" t="str">
        <v>B1</v>
      </c>
      <c r="D5">
        <v>5933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</v>
      </c>
      <c r="R5" t="str">
        <v>true</v>
      </c>
      <c r="S5" t="str">
        <v>NA</v>
      </c>
      <c r="T5" t="str">
        <v>false</v>
      </c>
      <c r="U5" t="str">
        <v>false</v>
      </c>
      <c r="V5" t="str">
        <v>deden defence, kregen gele kaart</v>
      </c>
      <c r="W5">
        <v>3</v>
      </c>
      <c r="Y5">
        <f>SUM($N$5:$P$5)</f>
        <v>0</v>
      </c>
      <c r="AB5">
        <f t="shared" si="0"/>
        <v>0</v>
      </c>
    </row>
    <row r="6" spans="1:28" x14ac:dyDescent="0.3">
      <c r="A6" t="str">
        <v xml:space="preserve">LeoV </v>
      </c>
      <c r="B6">
        <v>57</v>
      </c>
      <c r="C6" t="str">
        <v>B3</v>
      </c>
      <c r="D6">
        <v>5933</v>
      </c>
      <c r="E6" t="str">
        <v>D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55</v>
      </c>
      <c r="Q6">
        <v>72</v>
      </c>
      <c r="R6" t="str">
        <v>false</v>
      </c>
      <c r="S6" t="str">
        <v>NA</v>
      </c>
      <c r="T6" t="str">
        <v>false</v>
      </c>
      <c r="U6" t="str">
        <v>false</v>
      </c>
      <c r="V6" t="str">
        <v>Feed oitpost</v>
      </c>
      <c r="W6">
        <v>3</v>
      </c>
      <c r="Y6">
        <f>SUM($N$6:$P$6)</f>
        <v>55</v>
      </c>
      <c r="AB6">
        <f t="shared" si="0"/>
        <v>55</v>
      </c>
    </row>
    <row r="7" spans="1:28" x14ac:dyDescent="0.3">
      <c r="A7" t="str">
        <v>JV</v>
      </c>
      <c r="B7">
        <v>70</v>
      </c>
      <c r="C7" t="str">
        <v>R3</v>
      </c>
      <c r="D7">
        <v>5933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31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>Stayed on own sude on offense also kept human players fed.</v>
      </c>
      <c r="W7">
        <v>5</v>
      </c>
      <c r="Y7">
        <f>SUM($N$7:$P$7)</f>
        <v>31</v>
      </c>
      <c r="AB7">
        <f t="shared" si="0"/>
        <v>31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6120-B275-4D39-99D8-7C8860275C05}">
  <dimension ref="A1:AB33"/>
  <sheetViews>
    <sheetView topLeftCell="J1" workbookViewId="0">
      <selection activeCell="AB3" sqref="AB3:AB20"/>
    </sheetView>
  </sheetViews>
  <sheetFormatPr defaultRowHeight="14.4" x14ac:dyDescent="0.3"/>
  <sheetData>
    <row r="1" spans="1:28" x14ac:dyDescent="0.3">
      <c r="A1">
        <v>6352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Jippe</v>
      </c>
      <c r="B3">
        <v>5</v>
      </c>
      <c r="C3" t="str">
        <v>R2</v>
      </c>
      <c r="D3">
        <v>6352</v>
      </c>
      <c r="E3" t="str">
        <v>O</v>
      </c>
      <c r="F3" t="str">
        <v>false</v>
      </c>
      <c r="G3" t="str">
        <v>true</v>
      </c>
      <c r="H3" t="str">
        <v>true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6</v>
      </c>
      <c r="P3">
        <v>15</v>
      </c>
      <c r="Q3">
        <v>72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4</v>
      </c>
      <c r="Y3">
        <f>SUM($N$3:$P$3)</f>
        <v>21</v>
      </c>
      <c r="AB3">
        <f>IF(B3,SUM(N3:P3),"")</f>
        <v>21</v>
      </c>
    </row>
    <row r="4" spans="1:28" x14ac:dyDescent="0.3">
      <c r="A4" t="str">
        <v>Milan</v>
      </c>
      <c r="B4">
        <v>16</v>
      </c>
      <c r="C4" t="str">
        <v>R1</v>
      </c>
      <c r="D4">
        <v>6352</v>
      </c>
      <c r="E4" t="str">
        <v>O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20</v>
      </c>
      <c r="Q4">
        <v>64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4</v>
      </c>
      <c r="Y4">
        <f>SUM($N$4:$P$4)</f>
        <v>20</v>
      </c>
      <c r="AB4">
        <f t="shared" ref="AB4:AB20" si="0">IF(B4,SUM(N4:P4),"")</f>
        <v>20</v>
      </c>
    </row>
    <row r="5" spans="1:28" x14ac:dyDescent="0.3">
      <c r="A5" t="str">
        <v>JV</v>
      </c>
      <c r="B5">
        <v>34</v>
      </c>
      <c r="C5" t="str">
        <v>R3</v>
      </c>
      <c r="D5">
        <v>6352</v>
      </c>
      <c r="E5" t="str">
        <v>H</v>
      </c>
      <c r="F5" t="str">
        <v>false</v>
      </c>
      <c r="G5" t="str">
        <v>true</v>
      </c>
      <c r="H5" t="str">
        <v>true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</v>
      </c>
      <c r="R5" t="str">
        <v>false</v>
      </c>
      <c r="S5" t="str">
        <v>NA</v>
      </c>
      <c r="T5" t="str">
        <v>false</v>
      </c>
      <c r="U5" t="str">
        <v>false</v>
      </c>
      <c r="V5" t="str">
        <v>There was just technical difficulties the whole and it appeared they couldn't shoot.</v>
      </c>
      <c r="W5">
        <v>2</v>
      </c>
      <c r="Y5">
        <f>SUM($N$5:$P$5)</f>
        <v>0</v>
      </c>
      <c r="AB5">
        <f t="shared" si="0"/>
        <v>0</v>
      </c>
    </row>
    <row r="6" spans="1:28" x14ac:dyDescent="0.3">
      <c r="A6" t="str">
        <v>AA</v>
      </c>
      <c r="B6">
        <v>68</v>
      </c>
      <c r="C6" t="str">
        <v>R2</v>
      </c>
      <c r="D6">
        <v>6352</v>
      </c>
      <c r="E6" t="str">
        <v>O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4</v>
      </c>
      <c r="O6">
        <v>6</v>
      </c>
      <c r="P6">
        <v>40</v>
      </c>
      <c r="Q6">
        <v>91</v>
      </c>
      <c r="R6" t="str">
        <v>false</v>
      </c>
      <c r="S6" t="str">
        <v>NA</v>
      </c>
      <c r="T6" t="str">
        <v>false</v>
      </c>
      <c r="U6" t="str">
        <v>false</v>
      </c>
      <c r="V6" t="str">
        <v>Supported human player once, good carry</v>
      </c>
      <c r="W6">
        <v>3</v>
      </c>
      <c r="Y6">
        <f>SUM($N$6:$P$6)</f>
        <v>50</v>
      </c>
      <c r="AB6">
        <f t="shared" si="0"/>
        <v>50</v>
      </c>
    </row>
    <row r="7" spans="1:28" x14ac:dyDescent="0.3">
      <c r="A7" t="str">
        <v>Joep</v>
      </c>
      <c r="B7">
        <v>74</v>
      </c>
      <c r="C7" t="str">
        <v>B3</v>
      </c>
      <c r="D7">
        <v>6352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17</v>
      </c>
      <c r="O7">
        <v>3</v>
      </c>
      <c r="P7">
        <v>40</v>
      </c>
      <c r="Q7">
        <v>75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4</v>
      </c>
      <c r="Y7">
        <f>SUM($N$7:$P$7)</f>
        <v>60</v>
      </c>
      <c r="AB7">
        <f t="shared" si="0"/>
        <v>60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5679-9D5F-4D49-B5C8-78C113284878}">
  <dimension ref="A1:AB33"/>
  <sheetViews>
    <sheetView topLeftCell="G1" workbookViewId="0">
      <selection activeCell="AB3" sqref="AB3:AB20"/>
    </sheetView>
  </sheetViews>
  <sheetFormatPr defaultRowHeight="14.4" x14ac:dyDescent="0.3"/>
  <sheetData>
    <row r="1" spans="1:28" x14ac:dyDescent="0.3">
      <c r="A1">
        <v>6413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Mil g</v>
      </c>
      <c r="B3">
        <v>5</v>
      </c>
      <c r="C3" t="str">
        <v>B3</v>
      </c>
      <c r="D3">
        <v>6413</v>
      </c>
      <c r="E3" t="str">
        <v>H</v>
      </c>
      <c r="F3" t="str">
        <v>true</v>
      </c>
      <c r="G3" t="str">
        <v>true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>Anita Karki</v>
      </c>
      <c r="B4">
        <v>11</v>
      </c>
      <c r="C4" t="str">
        <v>B2</v>
      </c>
      <c r="D4">
        <v>6413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</v>
      </c>
      <c r="R4" t="str">
        <v>false</v>
      </c>
      <c r="S4" t="str">
        <v>NA</v>
      </c>
      <c r="T4" t="str">
        <v>false</v>
      </c>
      <c r="U4" t="str">
        <v>false</v>
      </c>
      <c r="V4" t="str">
        <v>shooter leek niet te werken</v>
      </c>
      <c r="W4">
        <v>3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LeoV</v>
      </c>
      <c r="B5">
        <v>26</v>
      </c>
      <c r="C5" t="str">
        <v>B1</v>
      </c>
      <c r="D5">
        <v>6413</v>
      </c>
      <c r="E5" t="str">
        <v>H</v>
      </c>
      <c r="F5" t="str">
        <v>false</v>
      </c>
      <c r="G5" t="str">
        <v>true</v>
      </c>
      <c r="H5" t="str">
        <v>false</v>
      </c>
      <c r="I5" t="str">
        <v>true</v>
      </c>
      <c r="J5" t="str">
        <v>NA</v>
      </c>
      <c r="K5" t="str">
        <v>true</v>
      </c>
      <c r="L5" t="str">
        <v>false</v>
      </c>
      <c r="M5" t="str">
        <v>true</v>
      </c>
      <c r="N5">
        <v>0</v>
      </c>
      <c r="O5">
        <v>0</v>
      </c>
      <c r="P5">
        <v>60</v>
      </c>
      <c r="Q5">
        <v>76</v>
      </c>
      <c r="R5" t="str">
        <v>false</v>
      </c>
      <c r="S5" t="str">
        <v>NA</v>
      </c>
      <c r="T5" t="str">
        <v>false</v>
      </c>
      <c r="U5" t="str">
        <v>false</v>
      </c>
      <c r="V5" t="str">
        <v>Got stuck on balls when going over ramp</v>
      </c>
      <c r="W5">
        <v>3</v>
      </c>
      <c r="Y5">
        <f>SUM($N$5:$P$5)</f>
        <v>60</v>
      </c>
      <c r="AB5">
        <f t="shared" si="0"/>
        <v>60</v>
      </c>
    </row>
    <row r="6" spans="1:28" x14ac:dyDescent="0.3">
      <c r="A6" t="str">
        <v>Maud</v>
      </c>
      <c r="B6">
        <v>32</v>
      </c>
      <c r="C6" t="str">
        <v>B1</v>
      </c>
      <c r="D6">
        <v>6413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7</v>
      </c>
      <c r="O6">
        <v>0</v>
      </c>
      <c r="P6">
        <v>65</v>
      </c>
      <c r="Q6">
        <v>91</v>
      </c>
      <c r="R6" t="str">
        <v>false</v>
      </c>
      <c r="S6" t="str">
        <v>NA</v>
      </c>
      <c r="T6" t="str">
        <v>false</v>
      </c>
      <c r="U6" t="str">
        <v>false</v>
      </c>
      <c r="V6" t="str">
        <v xml:space="preserve">Took a long time to alliance to hub for shooting </v>
      </c>
      <c r="W6">
        <v>4</v>
      </c>
      <c r="Y6">
        <f>SUM($N$6:$P$6)</f>
        <v>72</v>
      </c>
      <c r="AB6">
        <f t="shared" si="0"/>
        <v>72</v>
      </c>
    </row>
    <row r="7" spans="1:28" x14ac:dyDescent="0.3">
      <c r="A7" t="str">
        <v>AA</v>
      </c>
      <c r="B7">
        <v>38</v>
      </c>
      <c r="C7" t="str">
        <v>R3</v>
      </c>
      <c r="D7">
        <v>6413</v>
      </c>
      <c r="E7" t="str">
        <v>H</v>
      </c>
      <c r="F7" t="str">
        <v>false</v>
      </c>
      <c r="G7" t="str">
        <v>true</v>
      </c>
      <c r="H7" t="str">
        <v>false</v>
      </c>
      <c r="I7" t="str">
        <v>true</v>
      </c>
      <c r="J7" t="str">
        <v>NA</v>
      </c>
      <c r="K7" t="str">
        <v>true</v>
      </c>
      <c r="L7" t="str">
        <v>false</v>
      </c>
      <c r="M7" t="str">
        <v>true</v>
      </c>
      <c r="N7">
        <v>1</v>
      </c>
      <c r="O7">
        <v>3</v>
      </c>
      <c r="P7">
        <v>90</v>
      </c>
      <c r="Q7">
        <v>77</v>
      </c>
      <c r="R7" t="str">
        <v>false</v>
      </c>
      <c r="S7" t="str">
        <v>NA</v>
      </c>
      <c r="T7" t="str">
        <v>false</v>
      </c>
      <c r="U7" t="str">
        <v>false</v>
      </c>
      <c r="V7" t="str">
        <v>No support but really good shooter</v>
      </c>
      <c r="W7">
        <v>4</v>
      </c>
      <c r="Y7">
        <f>SUM($N$7:$P$7)</f>
        <v>94</v>
      </c>
      <c r="AB7">
        <f t="shared" si="0"/>
        <v>94</v>
      </c>
    </row>
    <row r="8" spans="1:28" x14ac:dyDescent="0.3">
      <c r="A8" t="str">
        <v>Nick</v>
      </c>
      <c r="B8">
        <v>65</v>
      </c>
      <c r="C8" t="str">
        <v>R3</v>
      </c>
      <c r="D8">
        <v>6413</v>
      </c>
      <c r="E8" t="str">
        <v>H</v>
      </c>
      <c r="F8" t="str">
        <v>false</v>
      </c>
      <c r="G8" t="str">
        <v>true</v>
      </c>
      <c r="H8" t="str">
        <v>true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15</v>
      </c>
      <c r="O8">
        <v>24</v>
      </c>
      <c r="P8">
        <v>105</v>
      </c>
      <c r="Q8">
        <v>70</v>
      </c>
      <c r="R8" t="str">
        <v>false</v>
      </c>
      <c r="S8" t="str">
        <v>NA</v>
      </c>
      <c r="T8" t="str">
        <v>false</v>
      </c>
      <c r="U8" t="str">
        <v>false</v>
      </c>
      <c r="V8">
        <v>0</v>
      </c>
      <c r="W8">
        <v>4</v>
      </c>
      <c r="Y8">
        <f>SUM($N$8:$P$8)</f>
        <v>144</v>
      </c>
      <c r="AB8">
        <f t="shared" si="0"/>
        <v>144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6102-F64A-435E-B97B-5246BE539EF3}">
  <dimension ref="A1:AB33"/>
  <sheetViews>
    <sheetView topLeftCell="I1" workbookViewId="0">
      <selection activeCell="AB3" sqref="AB3:AB20"/>
    </sheetView>
  </sheetViews>
  <sheetFormatPr defaultRowHeight="14.4" x14ac:dyDescent="0.3"/>
  <sheetData>
    <row r="1" spans="1:28" x14ac:dyDescent="0.3">
      <c r="A1">
        <v>6833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Anita Karki</v>
      </c>
      <c r="B3">
        <v>2</v>
      </c>
      <c r="C3" t="str">
        <v>R3</v>
      </c>
      <c r="D3">
        <v>6833</v>
      </c>
      <c r="E3" t="str">
        <v>H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9</v>
      </c>
      <c r="P3">
        <v>0</v>
      </c>
      <c r="Q3">
        <v>76</v>
      </c>
      <c r="R3" t="str">
        <v>true</v>
      </c>
      <c r="S3" t="str">
        <v>NA</v>
      </c>
      <c r="T3" t="str">
        <v>false</v>
      </c>
      <c r="U3" t="str">
        <v>false</v>
      </c>
      <c r="V3" t="str">
        <v>mainly pushed fuel around</v>
      </c>
      <c r="W3">
        <v>4</v>
      </c>
      <c r="Y3">
        <f>SUM($N$3:$P$3)</f>
        <v>9</v>
      </c>
      <c r="AB3">
        <f>IF(B3,SUM(N3:P3),"")</f>
        <v>9</v>
      </c>
    </row>
    <row r="4" spans="1:28" x14ac:dyDescent="0.3">
      <c r="A4" t="str">
        <v>Mil g</v>
      </c>
      <c r="B4">
        <v>10</v>
      </c>
      <c r="C4" t="str">
        <v>B2</v>
      </c>
      <c r="D4">
        <v>6833</v>
      </c>
      <c r="E4" t="str">
        <v>H</v>
      </c>
      <c r="F4" t="str">
        <v>false</v>
      </c>
      <c r="G4" t="str">
        <v>false</v>
      </c>
      <c r="H4" t="str">
        <v>true</v>
      </c>
      <c r="I4" t="str">
        <v>true</v>
      </c>
      <c r="J4" t="str">
        <v>No attempt</v>
      </c>
      <c r="K4" t="str">
        <v>true</v>
      </c>
      <c r="L4" t="str">
        <v>false</v>
      </c>
      <c r="M4" t="str">
        <v>false</v>
      </c>
      <c r="N4">
        <v>0</v>
      </c>
      <c r="O4">
        <v>3</v>
      </c>
      <c r="P4">
        <v>20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23</v>
      </c>
      <c r="AB4">
        <f t="shared" ref="AB4:AB20" si="0">IF(B4,SUM(N4:P4),"")</f>
        <v>23</v>
      </c>
    </row>
    <row r="5" spans="1:28" x14ac:dyDescent="0.3">
      <c r="A5" t="str">
        <v>Yannis</v>
      </c>
      <c r="B5">
        <v>22</v>
      </c>
      <c r="C5" t="str">
        <v>B3</v>
      </c>
      <c r="D5">
        <v>6833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1</v>
      </c>
      <c r="O5">
        <v>6</v>
      </c>
      <c r="P5">
        <v>25</v>
      </c>
      <c r="Q5">
        <v>33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32</v>
      </c>
      <c r="AB5">
        <f t="shared" si="0"/>
        <v>32</v>
      </c>
    </row>
    <row r="6" spans="1:28" x14ac:dyDescent="0.3">
      <c r="A6" t="str">
        <v>TimoS</v>
      </c>
      <c r="B6">
        <v>30</v>
      </c>
      <c r="C6" t="str">
        <v>R1</v>
      </c>
      <c r="D6">
        <v>6833</v>
      </c>
      <c r="E6" t="str">
        <v>H</v>
      </c>
      <c r="F6" t="str">
        <v>false</v>
      </c>
      <c r="G6" t="str">
        <v>false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4</v>
      </c>
      <c r="O6">
        <v>0</v>
      </c>
      <c r="P6">
        <v>20</v>
      </c>
      <c r="Q6">
        <v>64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4</v>
      </c>
      <c r="Y6">
        <f>SUM($N$6:$P$6)</f>
        <v>24</v>
      </c>
      <c r="AB6">
        <f t="shared" si="0"/>
        <v>24</v>
      </c>
    </row>
    <row r="7" spans="1:28" x14ac:dyDescent="0.3">
      <c r="A7" t="str">
        <v>AA</v>
      </c>
      <c r="B7">
        <v>48</v>
      </c>
      <c r="C7" t="str">
        <v>R2</v>
      </c>
      <c r="D7">
        <v>6833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0</v>
      </c>
      <c r="P7">
        <v>5</v>
      </c>
      <c r="Q7">
        <v>48</v>
      </c>
      <c r="R7" t="str">
        <v>false</v>
      </c>
      <c r="S7" t="str">
        <v>NA</v>
      </c>
      <c r="T7" t="str">
        <v>false</v>
      </c>
      <c r="U7" t="str">
        <v>false</v>
      </c>
      <c r="V7" t="str">
        <v>Calm and poor pickup/carry</v>
      </c>
      <c r="W7">
        <v>2</v>
      </c>
      <c r="Y7">
        <f>SUM($N$7:$P$7)</f>
        <v>5</v>
      </c>
      <c r="AB7">
        <f t="shared" si="0"/>
        <v>5</v>
      </c>
    </row>
    <row r="8" spans="1:28" x14ac:dyDescent="0.3">
      <c r="A8" t="str">
        <v xml:space="preserve">LeoV </v>
      </c>
      <c r="B8">
        <v>56</v>
      </c>
      <c r="C8" t="str">
        <v>R3</v>
      </c>
      <c r="D8">
        <v>6833</v>
      </c>
      <c r="E8" t="str">
        <v>O</v>
      </c>
      <c r="F8" t="str">
        <v>false</v>
      </c>
      <c r="G8" t="str">
        <v>true</v>
      </c>
      <c r="H8" t="str">
        <v>false</v>
      </c>
      <c r="I8" t="str">
        <v>false</v>
      </c>
      <c r="J8" t="str">
        <v>NA</v>
      </c>
      <c r="K8" t="str">
        <v>true</v>
      </c>
      <c r="L8" t="str">
        <v>false</v>
      </c>
      <c r="M8" t="str">
        <v>true</v>
      </c>
      <c r="N8">
        <v>0</v>
      </c>
      <c r="O8">
        <v>0</v>
      </c>
      <c r="P8">
        <v>0</v>
      </c>
      <c r="Q8">
        <v>65</v>
      </c>
      <c r="R8" t="str">
        <v>false</v>
      </c>
      <c r="S8" t="str">
        <v>A</v>
      </c>
      <c r="T8" t="str">
        <v>false</v>
      </c>
      <c r="U8" t="str">
        <v>false</v>
      </c>
      <c r="V8" t="str">
        <v>Feeda outpost, helped stuk teammeat</v>
      </c>
      <c r="W8">
        <v>3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058D-1BD1-4DF0-A371-C2A5415BA60E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6833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Anita Karki</v>
      </c>
      <c r="B3">
        <v>2</v>
      </c>
      <c r="C3" t="str">
        <v>R3</v>
      </c>
      <c r="D3">
        <v>6833</v>
      </c>
      <c r="E3" t="str">
        <v>H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9</v>
      </c>
      <c r="P3">
        <v>0</v>
      </c>
      <c r="Q3">
        <v>76</v>
      </c>
      <c r="R3" t="str">
        <v>true</v>
      </c>
      <c r="S3" t="str">
        <v>NA</v>
      </c>
      <c r="T3" t="str">
        <v>false</v>
      </c>
      <c r="U3" t="str">
        <v>false</v>
      </c>
      <c r="V3" t="str">
        <v>mainly pushed fuel around</v>
      </c>
      <c r="W3">
        <v>4</v>
      </c>
      <c r="Y3">
        <f>SUM($N$3:$P$3)</f>
        <v>9</v>
      </c>
      <c r="AB3">
        <f>IF(B3,SUM(N3:P3),"")</f>
        <v>9</v>
      </c>
    </row>
    <row r="4" spans="1:28" x14ac:dyDescent="0.3">
      <c r="A4" t="str">
        <v>Mil g</v>
      </c>
      <c r="B4">
        <v>10</v>
      </c>
      <c r="C4" t="str">
        <v>B2</v>
      </c>
      <c r="D4">
        <v>6833</v>
      </c>
      <c r="E4" t="str">
        <v>H</v>
      </c>
      <c r="F4" t="str">
        <v>false</v>
      </c>
      <c r="G4" t="str">
        <v>false</v>
      </c>
      <c r="H4" t="str">
        <v>true</v>
      </c>
      <c r="I4" t="str">
        <v>true</v>
      </c>
      <c r="J4" t="str">
        <v>No attempt</v>
      </c>
      <c r="K4" t="str">
        <v>true</v>
      </c>
      <c r="L4" t="str">
        <v>false</v>
      </c>
      <c r="M4" t="str">
        <v>false</v>
      </c>
      <c r="N4">
        <v>0</v>
      </c>
      <c r="O4">
        <v>3</v>
      </c>
      <c r="P4">
        <v>20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23</v>
      </c>
      <c r="AB4">
        <f t="shared" ref="AB4:AB20" si="0">IF(B4,SUM(N4:P4),"")</f>
        <v>23</v>
      </c>
    </row>
    <row r="5" spans="1:28" x14ac:dyDescent="0.3">
      <c r="A5" t="str">
        <v>Yannis</v>
      </c>
      <c r="B5">
        <v>22</v>
      </c>
      <c r="C5" t="str">
        <v>B3</v>
      </c>
      <c r="D5">
        <v>6833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1</v>
      </c>
      <c r="O5">
        <v>6</v>
      </c>
      <c r="P5">
        <v>25</v>
      </c>
      <c r="Q5">
        <v>33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32</v>
      </c>
      <c r="AB5">
        <f t="shared" si="0"/>
        <v>32</v>
      </c>
    </row>
    <row r="6" spans="1:28" x14ac:dyDescent="0.3">
      <c r="A6" t="str">
        <v>TimoS</v>
      </c>
      <c r="B6">
        <v>30</v>
      </c>
      <c r="C6" t="str">
        <v>R1</v>
      </c>
      <c r="D6">
        <v>6833</v>
      </c>
      <c r="E6" t="str">
        <v>H</v>
      </c>
      <c r="F6" t="str">
        <v>false</v>
      </c>
      <c r="G6" t="str">
        <v>false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4</v>
      </c>
      <c r="O6">
        <v>0</v>
      </c>
      <c r="P6">
        <v>20</v>
      </c>
      <c r="Q6">
        <v>64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4</v>
      </c>
      <c r="Y6">
        <f>SUM($N$6:$P$6)</f>
        <v>24</v>
      </c>
      <c r="AB6">
        <f t="shared" si="0"/>
        <v>24</v>
      </c>
    </row>
    <row r="7" spans="1:28" x14ac:dyDescent="0.3">
      <c r="A7" t="str">
        <v>AA</v>
      </c>
      <c r="B7">
        <v>48</v>
      </c>
      <c r="C7" t="str">
        <v>R2</v>
      </c>
      <c r="D7">
        <v>6833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0</v>
      </c>
      <c r="P7">
        <v>5</v>
      </c>
      <c r="Q7">
        <v>48</v>
      </c>
      <c r="R7" t="str">
        <v>false</v>
      </c>
      <c r="S7" t="str">
        <v>NA</v>
      </c>
      <c r="T7" t="str">
        <v>false</v>
      </c>
      <c r="U7" t="str">
        <v>false</v>
      </c>
      <c r="V7" t="str">
        <v>Calm and poor pickup/carry</v>
      </c>
      <c r="W7">
        <v>2</v>
      </c>
      <c r="Y7">
        <f>SUM($N$7:$P$7)</f>
        <v>5</v>
      </c>
      <c r="AB7">
        <f t="shared" si="0"/>
        <v>5</v>
      </c>
    </row>
    <row r="8" spans="1:28" x14ac:dyDescent="0.3">
      <c r="A8" t="str">
        <v xml:space="preserve">LeoV </v>
      </c>
      <c r="B8">
        <v>56</v>
      </c>
      <c r="C8" t="str">
        <v>R3</v>
      </c>
      <c r="D8">
        <v>6833</v>
      </c>
      <c r="E8" t="str">
        <v>O</v>
      </c>
      <c r="F8" t="str">
        <v>false</v>
      </c>
      <c r="G8" t="str">
        <v>true</v>
      </c>
      <c r="H8" t="str">
        <v>false</v>
      </c>
      <c r="I8" t="str">
        <v>false</v>
      </c>
      <c r="J8" t="str">
        <v>NA</v>
      </c>
      <c r="K8" t="str">
        <v>true</v>
      </c>
      <c r="L8" t="str">
        <v>false</v>
      </c>
      <c r="M8" t="str">
        <v>true</v>
      </c>
      <c r="N8">
        <v>0</v>
      </c>
      <c r="O8">
        <v>0</v>
      </c>
      <c r="P8">
        <v>0</v>
      </c>
      <c r="Q8">
        <v>65</v>
      </c>
      <c r="R8" t="str">
        <v>false</v>
      </c>
      <c r="S8" t="str">
        <v>A</v>
      </c>
      <c r="T8" t="str">
        <v>false</v>
      </c>
      <c r="U8" t="str">
        <v>false</v>
      </c>
      <c r="V8" t="str">
        <v>Feeda outpost, helped stuk teammeat</v>
      </c>
      <c r="W8">
        <v>3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020F-A66C-4938-AB05-84AA132EE3FC}">
  <dimension ref="A1:AB33"/>
  <sheetViews>
    <sheetView topLeftCell="O1" workbookViewId="0">
      <selection activeCell="AB3" sqref="AB3:AB20"/>
    </sheetView>
  </sheetViews>
  <sheetFormatPr defaultRowHeight="14.4" x14ac:dyDescent="0.3"/>
  <sheetData>
    <row r="1" spans="1:28" x14ac:dyDescent="0.3">
      <c r="A1">
        <v>6922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">_xlfn._xlws.FILTER(Tabel1[], Tabel1[Team Number]=A1, "Geen resultaten")</f>
        <v>Geen resultaten</v>
      </c>
      <c r="Y3">
        <f>SUM($N$3:$P$3)</f>
        <v>0</v>
      </c>
      <c r="AB3" t="str">
        <f>IF(B3,SUM(N3:P3),"")</f>
        <v/>
      </c>
    </row>
    <row r="4" spans="1:28" x14ac:dyDescent="0.3">
      <c r="Y4">
        <f>SUM($N$4:$P$4)</f>
        <v>0</v>
      </c>
      <c r="AB4" t="str">
        <f t="shared" ref="AB4:AB20" si="0">IF(B4,SUM(N4:P4),"")</f>
        <v/>
      </c>
    </row>
    <row r="5" spans="1:28" x14ac:dyDescent="0.3">
      <c r="Y5">
        <f>SUM($N$5:$P$5)</f>
        <v>0</v>
      </c>
      <c r="AB5" t="str">
        <f t="shared" si="0"/>
        <v/>
      </c>
    </row>
    <row r="6" spans="1:28" x14ac:dyDescent="0.3">
      <c r="Y6">
        <f>SUM($N$6:$P$6)</f>
        <v>0</v>
      </c>
      <c r="AB6" t="str">
        <f t="shared" si="0"/>
        <v/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6034-87F8-42D4-9B1A-E3017C6A433C}">
  <dimension ref="A1:AB33"/>
  <sheetViews>
    <sheetView topLeftCell="I1" workbookViewId="0">
      <selection activeCell="AB3" sqref="AB3:AB20"/>
    </sheetView>
  </sheetViews>
  <sheetFormatPr defaultRowHeight="14.4" x14ac:dyDescent="0.3"/>
  <sheetData>
    <row r="1" spans="1:28" x14ac:dyDescent="0.3">
      <c r="A1">
        <v>7333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11">_xlfn._xlws.FILTER(Tabel1[], Tabel1[Team Number]=A1, "Geen resultaten")</f>
        <v>TimoS</v>
      </c>
      <c r="B3">
        <v>8</v>
      </c>
      <c r="C3" t="str">
        <v>R3</v>
      </c>
      <c r="D3">
        <v>7333</v>
      </c>
      <c r="E3" t="str">
        <v>D</v>
      </c>
      <c r="F3" t="str">
        <v>false</v>
      </c>
      <c r="G3" t="str">
        <v>false</v>
      </c>
      <c r="H3" t="str">
        <v>true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9</v>
      </c>
      <c r="P3">
        <v>30</v>
      </c>
      <c r="Q3">
        <v>61</v>
      </c>
      <c r="R3" t="str">
        <v>false</v>
      </c>
      <c r="S3" t="str">
        <v>NA</v>
      </c>
      <c r="T3" t="str">
        <v>false</v>
      </c>
      <c r="U3" t="str">
        <v>false</v>
      </c>
      <c r="V3" t="str">
        <v>Hopper broke</v>
      </c>
      <c r="W3">
        <v>5</v>
      </c>
      <c r="Y3">
        <f>SUM($N$3:$P$3)</f>
        <v>39</v>
      </c>
      <c r="AB3">
        <f>IF(B3,SUM(N3:P3),"")</f>
        <v>39</v>
      </c>
    </row>
    <row r="4" spans="1:28" x14ac:dyDescent="0.3">
      <c r="A4" t="str">
        <v>Jippe</v>
      </c>
      <c r="B4">
        <v>15</v>
      </c>
      <c r="C4" t="str">
        <v>B2</v>
      </c>
      <c r="D4">
        <v>7333</v>
      </c>
      <c r="E4" t="str">
        <v>D</v>
      </c>
      <c r="F4" t="str">
        <v>false</v>
      </c>
      <c r="G4" t="str">
        <v>true</v>
      </c>
      <c r="H4" t="str">
        <v>true</v>
      </c>
      <c r="I4" t="str">
        <v>true</v>
      </c>
      <c r="J4" t="str">
        <v>No attempt</v>
      </c>
      <c r="K4" t="str">
        <v>true</v>
      </c>
      <c r="L4" t="str">
        <v>false</v>
      </c>
      <c r="M4" t="str">
        <v>false</v>
      </c>
      <c r="N4">
        <v>6</v>
      </c>
      <c r="O4">
        <v>12</v>
      </c>
      <c r="P4">
        <v>45</v>
      </c>
      <c r="Q4">
        <v>67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63</v>
      </c>
      <c r="AB4">
        <f t="shared" ref="AB4:AB20" si="0">IF(B4,SUM(N4:P4),"")</f>
        <v>63</v>
      </c>
    </row>
    <row r="5" spans="1:28" x14ac:dyDescent="0.3">
      <c r="A5" t="str">
        <v>Joep</v>
      </c>
      <c r="B5">
        <v>21</v>
      </c>
      <c r="C5" t="str">
        <v>B1</v>
      </c>
      <c r="D5">
        <v>7333</v>
      </c>
      <c r="E5" t="str">
        <v>D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26</v>
      </c>
      <c r="O5">
        <v>0</v>
      </c>
      <c r="P5">
        <v>35</v>
      </c>
      <c r="Q5">
        <v>65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61</v>
      </c>
      <c r="AB5">
        <f t="shared" si="0"/>
        <v>61</v>
      </c>
    </row>
    <row r="6" spans="1:28" x14ac:dyDescent="0.3">
      <c r="A6" t="str">
        <v>TimoS</v>
      </c>
      <c r="B6">
        <v>29</v>
      </c>
      <c r="C6" t="str">
        <v>R3</v>
      </c>
      <c r="D6">
        <v>7333</v>
      </c>
      <c r="E6" t="str">
        <v>D</v>
      </c>
      <c r="F6" t="str">
        <v>false</v>
      </c>
      <c r="G6" t="str">
        <v>true</v>
      </c>
      <c r="H6" t="str">
        <v>true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30</v>
      </c>
      <c r="Q6">
        <v>31</v>
      </c>
      <c r="R6" t="str">
        <v>false</v>
      </c>
      <c r="S6" t="str">
        <v>NA</v>
      </c>
      <c r="T6" t="str">
        <v>false</v>
      </c>
      <c r="U6" t="str">
        <v>false</v>
      </c>
      <c r="V6" t="str">
        <v>Hard defended, shooter to soft</v>
      </c>
      <c r="W6">
        <v>5</v>
      </c>
      <c r="Y6">
        <f>SUM($N$6:$P$6)</f>
        <v>30</v>
      </c>
      <c r="AB6">
        <f t="shared" si="0"/>
        <v>30</v>
      </c>
    </row>
    <row r="7" spans="1:28" x14ac:dyDescent="0.3">
      <c r="A7" t="str">
        <v>Yannis</v>
      </c>
      <c r="B7">
        <v>40</v>
      </c>
      <c r="C7" t="str">
        <v>B3</v>
      </c>
      <c r="D7">
        <v>7333</v>
      </c>
      <c r="E7" t="str">
        <v>D</v>
      </c>
      <c r="F7" t="str">
        <v>false</v>
      </c>
      <c r="G7" t="str">
        <v>true</v>
      </c>
      <c r="H7" t="str">
        <v>true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3</v>
      </c>
      <c r="P7">
        <v>40</v>
      </c>
      <c r="Q7">
        <v>72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4</v>
      </c>
      <c r="Y7">
        <f>SUM($N$7:$P$7)</f>
        <v>43</v>
      </c>
      <c r="AB7">
        <f t="shared" si="0"/>
        <v>43</v>
      </c>
    </row>
    <row r="8" spans="1:28" x14ac:dyDescent="0.3">
      <c r="A8" t="str">
        <v>TimoS</v>
      </c>
      <c r="B8">
        <v>49</v>
      </c>
      <c r="C8" t="str">
        <v>R2</v>
      </c>
      <c r="D8">
        <v>7333</v>
      </c>
      <c r="E8" t="str">
        <v>D</v>
      </c>
      <c r="F8" t="str">
        <v>false</v>
      </c>
      <c r="G8" t="str">
        <v>true</v>
      </c>
      <c r="H8" t="str">
        <v>true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4</v>
      </c>
      <c r="O8">
        <v>3</v>
      </c>
      <c r="P8">
        <v>40</v>
      </c>
      <c r="Q8">
        <v>80</v>
      </c>
      <c r="R8" t="str">
        <v>false</v>
      </c>
      <c r="S8" t="str">
        <v>NA</v>
      </c>
      <c r="T8" t="str">
        <v>false</v>
      </c>
      <c r="U8" t="str">
        <v>false</v>
      </c>
      <c r="V8">
        <v>0</v>
      </c>
      <c r="W8">
        <v>5</v>
      </c>
      <c r="Y8">
        <f>SUM($N$8:$P$8)</f>
        <v>47</v>
      </c>
      <c r="AB8">
        <f t="shared" si="0"/>
        <v>47</v>
      </c>
    </row>
    <row r="9" spans="1:28" x14ac:dyDescent="0.3">
      <c r="A9" t="str">
        <v>Jippe</v>
      </c>
      <c r="B9">
        <v>61</v>
      </c>
      <c r="C9" t="str">
        <v>B1</v>
      </c>
      <c r="D9">
        <v>7333</v>
      </c>
      <c r="E9" t="str">
        <v>O</v>
      </c>
      <c r="F9" t="str">
        <v>false</v>
      </c>
      <c r="G9" t="str">
        <v>false</v>
      </c>
      <c r="H9" t="str">
        <v>false</v>
      </c>
      <c r="I9" t="str">
        <v>false</v>
      </c>
      <c r="J9" t="str">
        <v>No attempt</v>
      </c>
      <c r="K9" t="str">
        <v>true</v>
      </c>
      <c r="L9" t="str">
        <v>false</v>
      </c>
      <c r="M9" t="str">
        <v>false</v>
      </c>
      <c r="N9">
        <v>2</v>
      </c>
      <c r="O9">
        <v>3</v>
      </c>
      <c r="P9">
        <v>65</v>
      </c>
      <c r="Q9">
        <v>77</v>
      </c>
      <c r="R9" t="str">
        <v>false</v>
      </c>
      <c r="S9" t="str">
        <v>NA</v>
      </c>
      <c r="T9" t="str">
        <v>false</v>
      </c>
      <c r="U9" t="str">
        <v>false</v>
      </c>
      <c r="V9">
        <v>0</v>
      </c>
      <c r="W9">
        <v>5</v>
      </c>
      <c r="Y9">
        <f>SUM($N$9:$P$9)</f>
        <v>70</v>
      </c>
      <c r="AB9">
        <f t="shared" si="0"/>
        <v>70</v>
      </c>
    </row>
    <row r="10" spans="1:28" x14ac:dyDescent="0.3">
      <c r="A10" t="str">
        <v>Jippe</v>
      </c>
      <c r="B10">
        <v>70</v>
      </c>
      <c r="C10" t="str">
        <v>B2</v>
      </c>
      <c r="D10">
        <v>7333</v>
      </c>
      <c r="E10" t="str">
        <v>D</v>
      </c>
      <c r="F10" t="str">
        <v>false</v>
      </c>
      <c r="G10" t="str">
        <v>true</v>
      </c>
      <c r="H10" t="str">
        <v>true</v>
      </c>
      <c r="I10" t="str">
        <v>false</v>
      </c>
      <c r="J10" t="str">
        <v>No attempt</v>
      </c>
      <c r="K10" t="str">
        <v>false</v>
      </c>
      <c r="L10" t="str">
        <v>false</v>
      </c>
      <c r="M10" t="str">
        <v>false</v>
      </c>
      <c r="N10">
        <v>4</v>
      </c>
      <c r="O10">
        <v>18</v>
      </c>
      <c r="P10">
        <v>65</v>
      </c>
      <c r="Q10">
        <v>68</v>
      </c>
      <c r="R10" t="str">
        <v>false</v>
      </c>
      <c r="S10" t="str">
        <v>NA</v>
      </c>
      <c r="T10" t="str">
        <v>false</v>
      </c>
      <c r="U10" t="str">
        <v>false</v>
      </c>
      <c r="V10">
        <v>0</v>
      </c>
      <c r="W10">
        <v>5</v>
      </c>
      <c r="Y10">
        <f>SUM($N$10:$P$10)</f>
        <v>87</v>
      </c>
      <c r="AB10">
        <f t="shared" si="0"/>
        <v>87</v>
      </c>
    </row>
    <row r="11" spans="1:28" x14ac:dyDescent="0.3">
      <c r="A11" t="str">
        <v>Jippe</v>
      </c>
      <c r="B11">
        <v>76</v>
      </c>
      <c r="C11" t="str">
        <v>R1</v>
      </c>
      <c r="D11">
        <v>7333</v>
      </c>
      <c r="E11" t="str">
        <v>D</v>
      </c>
      <c r="F11" t="str">
        <v>false</v>
      </c>
      <c r="G11" t="str">
        <v>true</v>
      </c>
      <c r="H11" t="str">
        <v>true</v>
      </c>
      <c r="I11" t="str">
        <v>true</v>
      </c>
      <c r="J11" t="str">
        <v>No attempt</v>
      </c>
      <c r="K11" t="str">
        <v>false</v>
      </c>
      <c r="L11" t="str">
        <v>false</v>
      </c>
      <c r="M11" t="str">
        <v>false</v>
      </c>
      <c r="N11">
        <v>1</v>
      </c>
      <c r="O11">
        <v>3</v>
      </c>
      <c r="P11">
        <v>40</v>
      </c>
      <c r="Q11">
        <v>82</v>
      </c>
      <c r="R11" t="str">
        <v>false</v>
      </c>
      <c r="S11" t="str">
        <v>NA</v>
      </c>
      <c r="T11" t="str">
        <v>false</v>
      </c>
      <c r="U11" t="str">
        <v>false</v>
      </c>
      <c r="V11">
        <v>0</v>
      </c>
      <c r="W11">
        <v>5</v>
      </c>
      <c r="Y11">
        <f>SUM($N$11:$P$11)</f>
        <v>44</v>
      </c>
      <c r="AB11">
        <f t="shared" si="0"/>
        <v>44</v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02E0-5147-470F-B0D9-94A3EF7855EE}">
  <dimension ref="A1:AB33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7425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9">_xlfn._xlws.FILTER(Tabel1[], Tabel1[Team Number]=A1, "Geen resultaten")</f>
        <v>Lex vG</v>
      </c>
      <c r="B3">
        <v>18</v>
      </c>
      <c r="C3" t="str">
        <v>B1</v>
      </c>
      <c r="D3">
        <v>7425</v>
      </c>
      <c r="E3" t="str">
        <v>O</v>
      </c>
      <c r="F3" t="str">
        <v>false</v>
      </c>
      <c r="G3" t="str">
        <v>false</v>
      </c>
      <c r="H3" t="str">
        <v>true</v>
      </c>
      <c r="I3" t="str">
        <v>true</v>
      </c>
      <c r="J3" t="str">
        <v>NA</v>
      </c>
      <c r="K3" t="str">
        <v>false</v>
      </c>
      <c r="L3" t="str">
        <v>false</v>
      </c>
      <c r="M3" t="str">
        <v>false</v>
      </c>
      <c r="N3">
        <v>1</v>
      </c>
      <c r="O3">
        <v>6</v>
      </c>
      <c r="P3">
        <v>50</v>
      </c>
      <c r="Q3">
        <v>81</v>
      </c>
      <c r="R3" t="str">
        <v>false</v>
      </c>
      <c r="S3" t="str">
        <v>NA</v>
      </c>
      <c r="T3" t="str">
        <v>false</v>
      </c>
      <c r="U3" t="str">
        <v>false</v>
      </c>
      <c r="V3" t="str">
        <v>Auto erg inaccuraat, schiet soms te hard verschilt per cycle, verspilt tijd tijdens inactive hub</v>
      </c>
      <c r="W3">
        <v>3</v>
      </c>
      <c r="Y3">
        <f>SUM($N$3:$P$3)</f>
        <v>57</v>
      </c>
      <c r="AB3">
        <f>IF(B3,SUM(N3:P3),"")</f>
        <v>57</v>
      </c>
    </row>
    <row r="4" spans="1:28" x14ac:dyDescent="0.3">
      <c r="A4" t="str">
        <v>Jippe</v>
      </c>
      <c r="B4">
        <v>27</v>
      </c>
      <c r="C4" t="str">
        <v>B3</v>
      </c>
      <c r="D4">
        <v>7425</v>
      </c>
      <c r="E4" t="str">
        <v>H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3</v>
      </c>
      <c r="O4">
        <v>3</v>
      </c>
      <c r="P4">
        <v>50</v>
      </c>
      <c r="Q4">
        <v>54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56</v>
      </c>
      <c r="AB4">
        <f t="shared" ref="AB4:AB20" si="0">IF(B4,SUM(N4:P4),"")</f>
        <v>56</v>
      </c>
    </row>
    <row r="5" spans="1:28" x14ac:dyDescent="0.3">
      <c r="A5" t="str">
        <v xml:space="preserve">Maud </v>
      </c>
      <c r="B5">
        <v>35</v>
      </c>
      <c r="C5" t="str">
        <v>B2</v>
      </c>
      <c r="D5">
        <v>7425</v>
      </c>
      <c r="E5" t="str">
        <v>O</v>
      </c>
      <c r="F5" t="str">
        <v>false</v>
      </c>
      <c r="G5" t="str">
        <v>true</v>
      </c>
      <c r="H5" t="str">
        <v>false</v>
      </c>
      <c r="I5" t="str">
        <v>false</v>
      </c>
      <c r="J5">
        <v>0</v>
      </c>
      <c r="K5" t="str">
        <v>true</v>
      </c>
      <c r="L5" t="str">
        <v>false</v>
      </c>
      <c r="M5" t="str">
        <v>false</v>
      </c>
      <c r="N5">
        <v>5</v>
      </c>
      <c r="O5">
        <v>27</v>
      </c>
      <c r="P5">
        <v>20</v>
      </c>
      <c r="Q5">
        <v>72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52</v>
      </c>
      <c r="AB5">
        <f t="shared" si="0"/>
        <v>52</v>
      </c>
    </row>
    <row r="6" spans="1:28" x14ac:dyDescent="0.3">
      <c r="A6" t="str">
        <v>GD</v>
      </c>
      <c r="B6">
        <v>50</v>
      </c>
      <c r="C6" t="str">
        <v>R1</v>
      </c>
      <c r="D6">
        <v>7425</v>
      </c>
      <c r="E6" t="str">
        <v>H</v>
      </c>
      <c r="F6" t="str">
        <v>false</v>
      </c>
      <c r="G6" t="str">
        <v>true</v>
      </c>
      <c r="H6" t="str">
        <v>true</v>
      </c>
      <c r="I6" t="str">
        <v>false</v>
      </c>
      <c r="J6" t="str">
        <v>No attempt</v>
      </c>
      <c r="K6" t="str">
        <v>true</v>
      </c>
      <c r="L6" t="str">
        <v>false</v>
      </c>
      <c r="M6" t="str">
        <v>false</v>
      </c>
      <c r="N6">
        <v>40</v>
      </c>
      <c r="O6">
        <v>0</v>
      </c>
      <c r="P6">
        <v>0</v>
      </c>
      <c r="Q6">
        <v>75</v>
      </c>
      <c r="R6" t="str">
        <v>true</v>
      </c>
      <c r="S6" t="str">
        <v>NA</v>
      </c>
      <c r="T6" t="str">
        <v>false</v>
      </c>
      <c r="U6" t="str">
        <v>false</v>
      </c>
      <c r="V6">
        <v>0</v>
      </c>
      <c r="W6">
        <v>3</v>
      </c>
      <c r="Y6">
        <f>SUM($N$6:$P$6)</f>
        <v>40</v>
      </c>
      <c r="AB6">
        <f t="shared" si="0"/>
        <v>40</v>
      </c>
    </row>
    <row r="7" spans="1:28" x14ac:dyDescent="0.3">
      <c r="A7" t="str">
        <v>GD</v>
      </c>
      <c r="B7">
        <v>61</v>
      </c>
      <c r="C7" t="str">
        <v>R3</v>
      </c>
      <c r="D7">
        <v>7425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false</v>
      </c>
      <c r="L7" t="str">
        <v>false</v>
      </c>
      <c r="M7" t="str">
        <v>false</v>
      </c>
      <c r="N7">
        <v>41</v>
      </c>
      <c r="O7">
        <v>0</v>
      </c>
      <c r="P7">
        <v>0</v>
      </c>
      <c r="Q7">
        <v>84</v>
      </c>
      <c r="R7" t="str">
        <v>true</v>
      </c>
      <c r="S7" t="str">
        <v>NA</v>
      </c>
      <c r="T7" t="str">
        <v>false</v>
      </c>
      <c r="U7" t="str">
        <v>false</v>
      </c>
      <c r="V7" t="str">
        <v>Carried team</v>
      </c>
      <c r="W7">
        <v>4</v>
      </c>
      <c r="Y7">
        <f>SUM($N$7:$P$7)</f>
        <v>41</v>
      </c>
      <c r="AB7">
        <f t="shared" si="0"/>
        <v>41</v>
      </c>
    </row>
    <row r="8" spans="1:28" x14ac:dyDescent="0.3">
      <c r="A8" t="str">
        <v>Maud</v>
      </c>
      <c r="B8">
        <v>72</v>
      </c>
      <c r="C8" t="str">
        <v>B3</v>
      </c>
      <c r="D8">
        <v>7425</v>
      </c>
      <c r="E8" t="str">
        <v>H</v>
      </c>
      <c r="F8" t="str">
        <v>false</v>
      </c>
      <c r="G8" t="str">
        <v>true</v>
      </c>
      <c r="H8" t="str">
        <v>false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2</v>
      </c>
      <c r="O8">
        <v>18</v>
      </c>
      <c r="P8">
        <v>55</v>
      </c>
      <c r="Q8">
        <v>80</v>
      </c>
      <c r="R8" t="str">
        <v>false</v>
      </c>
      <c r="S8" t="str">
        <v>NA</v>
      </c>
      <c r="T8" t="str">
        <v>false</v>
      </c>
      <c r="U8" t="str">
        <v>false</v>
      </c>
      <c r="V8" t="str">
        <v>Overall good</v>
      </c>
      <c r="W8">
        <v>5</v>
      </c>
      <c r="Y8">
        <f>SUM($N$8:$P$8)</f>
        <v>75</v>
      </c>
      <c r="AB8">
        <f t="shared" si="0"/>
        <v>75</v>
      </c>
    </row>
    <row r="9" spans="1:28" x14ac:dyDescent="0.3">
      <c r="A9" t="str">
        <v>Anita Karki</v>
      </c>
      <c r="B9">
        <v>78</v>
      </c>
      <c r="C9" t="str">
        <v>B2</v>
      </c>
      <c r="D9">
        <v>7425</v>
      </c>
      <c r="E9" t="str">
        <v>D</v>
      </c>
      <c r="F9" t="str">
        <v>false</v>
      </c>
      <c r="G9" t="str">
        <v>true</v>
      </c>
      <c r="H9" t="str">
        <v>true</v>
      </c>
      <c r="I9" t="str">
        <v>true</v>
      </c>
      <c r="J9">
        <v>0</v>
      </c>
      <c r="K9" t="str">
        <v>false</v>
      </c>
      <c r="L9" t="str">
        <v>false</v>
      </c>
      <c r="M9" t="str">
        <v>false</v>
      </c>
      <c r="N9">
        <v>5</v>
      </c>
      <c r="O9">
        <v>3</v>
      </c>
      <c r="P9">
        <v>75</v>
      </c>
      <c r="Q9">
        <v>75</v>
      </c>
      <c r="R9" t="str">
        <v>false</v>
      </c>
      <c r="S9" t="str">
        <v>NA</v>
      </c>
      <c r="T9" t="str">
        <v>false</v>
      </c>
      <c r="U9" t="str">
        <v>false</v>
      </c>
      <c r="V9">
        <v>0</v>
      </c>
      <c r="W9">
        <v>4</v>
      </c>
      <c r="Y9">
        <f>SUM($N$9:$P$9)</f>
        <v>83</v>
      </c>
      <c r="AB9">
        <f t="shared" si="0"/>
        <v>83</v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2236-9BFF-4447-A12F-F4218D6C3656}">
  <dimension ref="A1:AB34"/>
  <sheetViews>
    <sheetView topLeftCell="G1" workbookViewId="0">
      <selection activeCell="Y3" sqref="Y3:AB3"/>
    </sheetView>
  </sheetViews>
  <sheetFormatPr defaultRowHeight="14.4" x14ac:dyDescent="0.3"/>
  <sheetData>
    <row r="1" spans="1:28" x14ac:dyDescent="0.3">
      <c r="A1">
        <v>7426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LeoV</v>
      </c>
      <c r="B3">
        <v>14</v>
      </c>
      <c r="C3" t="str">
        <v>B1</v>
      </c>
      <c r="D3">
        <v>7426</v>
      </c>
      <c r="E3" t="str">
        <v>D</v>
      </c>
      <c r="F3" t="str">
        <v>false</v>
      </c>
      <c r="G3" t="str">
        <v>true</v>
      </c>
      <c r="H3" t="str">
        <v>true</v>
      </c>
      <c r="I3" t="str">
        <v>true</v>
      </c>
      <c r="J3">
        <v>0</v>
      </c>
      <c r="K3" t="str">
        <v>true</v>
      </c>
      <c r="L3" t="str">
        <v>true</v>
      </c>
      <c r="M3" t="str">
        <v>false</v>
      </c>
      <c r="N3">
        <v>0</v>
      </c>
      <c r="O3">
        <v>0</v>
      </c>
      <c r="P3">
        <v>35</v>
      </c>
      <c r="Q3">
        <v>87</v>
      </c>
      <c r="R3" t="str">
        <v>false</v>
      </c>
      <c r="S3" t="str">
        <v>NA</v>
      </c>
      <c r="T3" t="str">
        <v>false</v>
      </c>
      <c r="U3" t="str">
        <v>false</v>
      </c>
      <c r="V3" t="str">
        <v xml:space="preserve">Needs pickup to shoot </v>
      </c>
      <c r="W3">
        <v>5</v>
      </c>
      <c r="Y3">
        <f>SUM(N3:P3)</f>
        <v>35</v>
      </c>
      <c r="AB3">
        <f>IF(B3,SUM(N3:P3),"")</f>
        <v>35</v>
      </c>
    </row>
    <row r="4" spans="1:28" x14ac:dyDescent="0.3">
      <c r="A4" t="str">
        <v>AA</v>
      </c>
      <c r="B4">
        <v>26</v>
      </c>
      <c r="C4" t="str">
        <v>R2</v>
      </c>
      <c r="D4">
        <v>7426</v>
      </c>
      <c r="E4" t="str">
        <v>H</v>
      </c>
      <c r="F4" t="str">
        <v>false</v>
      </c>
      <c r="G4" t="str">
        <v>true</v>
      </c>
      <c r="H4" t="str">
        <v>true</v>
      </c>
      <c r="I4" t="str">
        <v>true</v>
      </c>
      <c r="J4" t="str">
        <v>L1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80</v>
      </c>
      <c r="Q4">
        <v>87</v>
      </c>
      <c r="R4" t="str">
        <v>false</v>
      </c>
      <c r="S4">
        <v>1</v>
      </c>
      <c r="T4" t="str">
        <v>false</v>
      </c>
      <c r="U4" t="str">
        <v>false</v>
      </c>
      <c r="V4" t="str">
        <v>Really good all around, auto does shoot and climbs.</v>
      </c>
      <c r="W4">
        <v>5</v>
      </c>
      <c r="Y4">
        <f t="shared" ref="Y4:Y34" si="0">SUM(N4:P4)</f>
        <v>80</v>
      </c>
      <c r="AB4">
        <f t="shared" ref="AB4:AB20" si="1">IF(B4,SUM(N4:P4),"")</f>
        <v>80</v>
      </c>
    </row>
    <row r="5" spans="1:28" x14ac:dyDescent="0.3">
      <c r="A5" t="str">
        <v>AA</v>
      </c>
      <c r="B5">
        <v>35</v>
      </c>
      <c r="C5" t="str">
        <v>R2</v>
      </c>
      <c r="D5">
        <v>7426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L1</v>
      </c>
      <c r="K5" t="str">
        <v>true</v>
      </c>
      <c r="L5" t="str">
        <v>false</v>
      </c>
      <c r="M5" t="str">
        <v>false</v>
      </c>
      <c r="N5">
        <v>8</v>
      </c>
      <c r="O5">
        <v>24</v>
      </c>
      <c r="P5">
        <v>145</v>
      </c>
      <c r="Q5">
        <v>93</v>
      </c>
      <c r="R5" t="str">
        <v>false</v>
      </c>
      <c r="S5">
        <v>1</v>
      </c>
      <c r="T5" t="str">
        <v>false</v>
      </c>
      <c r="U5" t="str">
        <v>false</v>
      </c>
      <c r="V5" t="str">
        <v xml:space="preserve">Great all around including support </v>
      </c>
      <c r="W5">
        <v>5</v>
      </c>
      <c r="Y5">
        <f t="shared" si="0"/>
        <v>177</v>
      </c>
      <c r="AB5">
        <f t="shared" si="1"/>
        <v>177</v>
      </c>
    </row>
    <row r="6" spans="1:28" x14ac:dyDescent="0.3">
      <c r="A6" t="str">
        <v>Yannis</v>
      </c>
      <c r="B6">
        <v>55</v>
      </c>
      <c r="C6" t="str">
        <v>B1</v>
      </c>
      <c r="D6">
        <v>7426</v>
      </c>
      <c r="E6" t="str">
        <v>O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1</v>
      </c>
      <c r="O6">
        <v>3</v>
      </c>
      <c r="P6">
        <v>120</v>
      </c>
      <c r="Q6">
        <v>85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5</v>
      </c>
      <c r="Y6">
        <f t="shared" si="0"/>
        <v>124</v>
      </c>
      <c r="AB6">
        <f t="shared" si="1"/>
        <v>124</v>
      </c>
    </row>
    <row r="7" spans="1:28" x14ac:dyDescent="0.3">
      <c r="A7" t="str">
        <v>AA</v>
      </c>
      <c r="B7">
        <v>62</v>
      </c>
      <c r="C7" t="str">
        <v>R2</v>
      </c>
      <c r="D7">
        <v>7426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true</v>
      </c>
      <c r="M7" t="str">
        <v>false</v>
      </c>
      <c r="N7">
        <v>0</v>
      </c>
      <c r="O7">
        <v>0</v>
      </c>
      <c r="P7">
        <v>60</v>
      </c>
      <c r="Q7">
        <v>89</v>
      </c>
      <c r="R7" t="str">
        <v>true</v>
      </c>
      <c r="S7" t="str">
        <v>NA</v>
      </c>
      <c r="T7" t="str">
        <v>false</v>
      </c>
      <c r="U7" t="str">
        <v>false</v>
      </c>
      <c r="V7" t="str">
        <v xml:space="preserve">Fast with good support and defense, got a foul while interacting with an enemy </v>
      </c>
      <c r="W7">
        <v>4</v>
      </c>
      <c r="Y7">
        <f t="shared" si="0"/>
        <v>60</v>
      </c>
      <c r="AB7">
        <f t="shared" si="1"/>
        <v>60</v>
      </c>
    </row>
    <row r="8" spans="1:28" x14ac:dyDescent="0.3">
      <c r="Y8">
        <f t="shared" si="0"/>
        <v>0</v>
      </c>
      <c r="AB8" t="str">
        <f t="shared" si="1"/>
        <v/>
      </c>
    </row>
    <row r="9" spans="1:28" x14ac:dyDescent="0.3">
      <c r="Y9">
        <f t="shared" si="0"/>
        <v>0</v>
      </c>
      <c r="AB9" t="str">
        <f t="shared" si="1"/>
        <v/>
      </c>
    </row>
    <row r="10" spans="1:28" x14ac:dyDescent="0.3">
      <c r="Y10">
        <f t="shared" si="0"/>
        <v>0</v>
      </c>
      <c r="AB10" t="str">
        <f t="shared" si="1"/>
        <v/>
      </c>
    </row>
    <row r="11" spans="1:28" x14ac:dyDescent="0.3">
      <c r="Y11">
        <f t="shared" si="0"/>
        <v>0</v>
      </c>
      <c r="AB11" t="str">
        <f t="shared" si="1"/>
        <v/>
      </c>
    </row>
    <row r="12" spans="1:28" x14ac:dyDescent="0.3">
      <c r="Y12">
        <f t="shared" si="0"/>
        <v>0</v>
      </c>
      <c r="AB12" t="str">
        <f t="shared" si="1"/>
        <v/>
      </c>
    </row>
    <row r="13" spans="1:28" x14ac:dyDescent="0.3">
      <c r="Y13">
        <f t="shared" si="0"/>
        <v>0</v>
      </c>
      <c r="AB13" t="str">
        <f t="shared" si="1"/>
        <v/>
      </c>
    </row>
    <row r="14" spans="1:28" x14ac:dyDescent="0.3">
      <c r="Y14">
        <f t="shared" si="0"/>
        <v>0</v>
      </c>
      <c r="AB14" t="str">
        <f t="shared" si="1"/>
        <v/>
      </c>
    </row>
    <row r="15" spans="1:28" x14ac:dyDescent="0.3">
      <c r="Y15">
        <f t="shared" si="0"/>
        <v>0</v>
      </c>
      <c r="AB15" t="str">
        <f>IF(B15,SUM(N15:P15),"")</f>
        <v/>
      </c>
    </row>
    <row r="16" spans="1:28" x14ac:dyDescent="0.3">
      <c r="Y16">
        <f t="shared" si="0"/>
        <v>0</v>
      </c>
      <c r="AB16" t="str">
        <f t="shared" si="1"/>
        <v/>
      </c>
    </row>
    <row r="17" spans="25:28" x14ac:dyDescent="0.3">
      <c r="Y17">
        <f t="shared" si="0"/>
        <v>0</v>
      </c>
      <c r="AB17" t="str">
        <f t="shared" si="1"/>
        <v/>
      </c>
    </row>
    <row r="18" spans="25:28" x14ac:dyDescent="0.3">
      <c r="Y18">
        <f t="shared" si="0"/>
        <v>0</v>
      </c>
      <c r="AB18" t="str">
        <f t="shared" si="1"/>
        <v/>
      </c>
    </row>
    <row r="19" spans="25:28" x14ac:dyDescent="0.3">
      <c r="Y19">
        <f t="shared" si="0"/>
        <v>0</v>
      </c>
      <c r="AB19" t="str">
        <f t="shared" si="1"/>
        <v/>
      </c>
    </row>
    <row r="20" spans="25:28" x14ac:dyDescent="0.3">
      <c r="Y20">
        <f t="shared" si="0"/>
        <v>0</v>
      </c>
      <c r="AB20" t="str">
        <f t="shared" si="1"/>
        <v/>
      </c>
    </row>
    <row r="21" spans="25:28" x14ac:dyDescent="0.3">
      <c r="Y21">
        <f t="shared" si="0"/>
        <v>0</v>
      </c>
    </row>
    <row r="22" spans="25:28" x14ac:dyDescent="0.3">
      <c r="Y22">
        <f t="shared" si="0"/>
        <v>0</v>
      </c>
    </row>
    <row r="23" spans="25:28" x14ac:dyDescent="0.3">
      <c r="Y23">
        <f t="shared" si="0"/>
        <v>0</v>
      </c>
    </row>
    <row r="24" spans="25:28" x14ac:dyDescent="0.3">
      <c r="Y24">
        <f t="shared" si="0"/>
        <v>0</v>
      </c>
    </row>
    <row r="25" spans="25:28" x14ac:dyDescent="0.3">
      <c r="Y25">
        <f t="shared" si="0"/>
        <v>0</v>
      </c>
    </row>
    <row r="26" spans="25:28" x14ac:dyDescent="0.3">
      <c r="Y26">
        <f t="shared" si="0"/>
        <v>0</v>
      </c>
    </row>
    <row r="27" spans="25:28" x14ac:dyDescent="0.3">
      <c r="Y27">
        <f t="shared" si="0"/>
        <v>0</v>
      </c>
    </row>
    <row r="28" spans="25:28" x14ac:dyDescent="0.3">
      <c r="Y28">
        <f t="shared" si="0"/>
        <v>0</v>
      </c>
    </row>
    <row r="29" spans="25:28" x14ac:dyDescent="0.3">
      <c r="Y29">
        <f t="shared" si="0"/>
        <v>0</v>
      </c>
    </row>
    <row r="30" spans="25:28" x14ac:dyDescent="0.3">
      <c r="Y30">
        <f t="shared" si="0"/>
        <v>0</v>
      </c>
    </row>
    <row r="31" spans="25:28" x14ac:dyDescent="0.3">
      <c r="Y31">
        <f t="shared" si="0"/>
        <v>0</v>
      </c>
    </row>
    <row r="32" spans="25:28" x14ac:dyDescent="0.3">
      <c r="Y32">
        <f t="shared" si="0"/>
        <v>0</v>
      </c>
    </row>
    <row r="33" spans="25:25" x14ac:dyDescent="0.3">
      <c r="Y33">
        <f t="shared" si="0"/>
        <v>0</v>
      </c>
    </row>
    <row r="34" spans="25:25" x14ac:dyDescent="0.3">
      <c r="Y34">
        <f t="shared" si="0"/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6D9B-5BF1-42E1-B7D0-975F3C1790A3}">
  <dimension ref="A1:AB33"/>
  <sheetViews>
    <sheetView topLeftCell="N1" workbookViewId="0">
      <selection activeCell="Y3" sqref="Y3:AB24"/>
    </sheetView>
  </sheetViews>
  <sheetFormatPr defaultRowHeight="14.4" x14ac:dyDescent="0.3"/>
  <sheetData>
    <row r="1" spans="1:28" x14ac:dyDescent="0.3">
      <c r="A1">
        <v>7703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">_xlfn._xlws.FILTER(Tabel1[], Tabel1[Team Number]=A1, "Geen resultaten")</f>
        <v>Geen resultaten</v>
      </c>
      <c r="Y3">
        <f>SUM(N3:P3)</f>
        <v>0</v>
      </c>
      <c r="AB3" t="str">
        <f>IF(B3,SUM(N3:P3),"")</f>
        <v/>
      </c>
    </row>
    <row r="4" spans="1:28" x14ac:dyDescent="0.3">
      <c r="Y4">
        <f t="shared" ref="Y4:Y24" si="0">SUM(N4:P4)</f>
        <v>0</v>
      </c>
      <c r="AB4" t="str">
        <f t="shared" ref="AB4:AB24" si="1">IF(B4,SUM(N4:P4),"")</f>
        <v/>
      </c>
    </row>
    <row r="5" spans="1:28" x14ac:dyDescent="0.3">
      <c r="Y5">
        <f t="shared" si="0"/>
        <v>0</v>
      </c>
      <c r="AB5" t="str">
        <f t="shared" si="1"/>
        <v/>
      </c>
    </row>
    <row r="6" spans="1:28" x14ac:dyDescent="0.3">
      <c r="Y6">
        <f t="shared" si="0"/>
        <v>0</v>
      </c>
      <c r="AB6" t="str">
        <f t="shared" si="1"/>
        <v/>
      </c>
    </row>
    <row r="7" spans="1:28" x14ac:dyDescent="0.3">
      <c r="Y7">
        <f t="shared" si="0"/>
        <v>0</v>
      </c>
      <c r="AB7" t="str">
        <f t="shared" si="1"/>
        <v/>
      </c>
    </row>
    <row r="8" spans="1:28" x14ac:dyDescent="0.3">
      <c r="Y8">
        <f t="shared" si="0"/>
        <v>0</v>
      </c>
      <c r="AB8" t="str">
        <f t="shared" si="1"/>
        <v/>
      </c>
    </row>
    <row r="9" spans="1:28" x14ac:dyDescent="0.3">
      <c r="Y9">
        <f t="shared" si="0"/>
        <v>0</v>
      </c>
      <c r="AB9" t="str">
        <f t="shared" si="1"/>
        <v/>
      </c>
    </row>
    <row r="10" spans="1:28" x14ac:dyDescent="0.3">
      <c r="Y10">
        <f t="shared" si="0"/>
        <v>0</v>
      </c>
      <c r="AB10" t="str">
        <f t="shared" si="1"/>
        <v/>
      </c>
    </row>
    <row r="11" spans="1:28" x14ac:dyDescent="0.3">
      <c r="Y11">
        <f t="shared" si="0"/>
        <v>0</v>
      </c>
      <c r="AB11" t="str">
        <f t="shared" si="1"/>
        <v/>
      </c>
    </row>
    <row r="12" spans="1:28" x14ac:dyDescent="0.3">
      <c r="Y12">
        <f t="shared" si="0"/>
        <v>0</v>
      </c>
      <c r="AB12" t="str">
        <f t="shared" si="1"/>
        <v/>
      </c>
    </row>
    <row r="13" spans="1:28" x14ac:dyDescent="0.3">
      <c r="Y13">
        <f t="shared" si="0"/>
        <v>0</v>
      </c>
      <c r="AB13" t="str">
        <f t="shared" si="1"/>
        <v/>
      </c>
    </row>
    <row r="14" spans="1:28" x14ac:dyDescent="0.3">
      <c r="Y14">
        <f t="shared" si="0"/>
        <v>0</v>
      </c>
      <c r="AB14" t="str">
        <f t="shared" si="1"/>
        <v/>
      </c>
    </row>
    <row r="15" spans="1:28" x14ac:dyDescent="0.3">
      <c r="Y15">
        <f t="shared" si="0"/>
        <v>0</v>
      </c>
      <c r="AB15" t="str">
        <f t="shared" si="1"/>
        <v/>
      </c>
    </row>
    <row r="16" spans="1:28" x14ac:dyDescent="0.3">
      <c r="Y16">
        <f t="shared" si="0"/>
        <v>0</v>
      </c>
      <c r="AB16" t="str">
        <f t="shared" si="1"/>
        <v/>
      </c>
    </row>
    <row r="17" spans="25:28" x14ac:dyDescent="0.3">
      <c r="Y17">
        <f t="shared" si="0"/>
        <v>0</v>
      </c>
      <c r="AB17" t="str">
        <f t="shared" si="1"/>
        <v/>
      </c>
    </row>
    <row r="18" spans="25:28" x14ac:dyDescent="0.3">
      <c r="Y18">
        <f t="shared" si="0"/>
        <v>0</v>
      </c>
      <c r="AB18" t="str">
        <f t="shared" si="1"/>
        <v/>
      </c>
    </row>
    <row r="19" spans="25:28" x14ac:dyDescent="0.3">
      <c r="Y19">
        <f t="shared" si="0"/>
        <v>0</v>
      </c>
      <c r="AB19" t="str">
        <f t="shared" si="1"/>
        <v/>
      </c>
    </row>
    <row r="20" spans="25:28" x14ac:dyDescent="0.3">
      <c r="Y20">
        <f t="shared" si="0"/>
        <v>0</v>
      </c>
      <c r="AB20" t="str">
        <f t="shared" si="1"/>
        <v/>
      </c>
    </row>
    <row r="21" spans="25:28" x14ac:dyDescent="0.3">
      <c r="Y21">
        <f t="shared" si="0"/>
        <v>0</v>
      </c>
      <c r="AB21" t="str">
        <f t="shared" si="1"/>
        <v/>
      </c>
    </row>
    <row r="22" spans="25:28" x14ac:dyDescent="0.3">
      <c r="Y22">
        <f t="shared" si="0"/>
        <v>0</v>
      </c>
      <c r="AB22" t="str">
        <f t="shared" si="1"/>
        <v/>
      </c>
    </row>
    <row r="23" spans="25:28" x14ac:dyDescent="0.3">
      <c r="Y23">
        <f t="shared" si="0"/>
        <v>0</v>
      </c>
      <c r="AB23" t="str">
        <f t="shared" si="1"/>
        <v/>
      </c>
    </row>
    <row r="24" spans="25:28" x14ac:dyDescent="0.3">
      <c r="Y24">
        <f t="shared" si="0"/>
        <v>0</v>
      </c>
      <c r="AB24" t="str">
        <f t="shared" si="1"/>
        <v/>
      </c>
    </row>
    <row r="25" spans="25:28" x14ac:dyDescent="0.3">
      <c r="Y25">
        <f t="shared" ref="Y25:Y33" si="2">SUM(M25:O25)</f>
        <v>0</v>
      </c>
    </row>
    <row r="26" spans="25:28" x14ac:dyDescent="0.3">
      <c r="Y26">
        <f t="shared" si="2"/>
        <v>0</v>
      </c>
    </row>
    <row r="27" spans="25:28" x14ac:dyDescent="0.3">
      <c r="Y27">
        <f t="shared" si="2"/>
        <v>0</v>
      </c>
    </row>
    <row r="28" spans="25:28" x14ac:dyDescent="0.3">
      <c r="Y28">
        <f t="shared" si="2"/>
        <v>0</v>
      </c>
    </row>
    <row r="29" spans="25:28" x14ac:dyDescent="0.3">
      <c r="Y29">
        <f t="shared" si="2"/>
        <v>0</v>
      </c>
    </row>
    <row r="30" spans="25:28" x14ac:dyDescent="0.3">
      <c r="Y30">
        <f t="shared" si="2"/>
        <v>0</v>
      </c>
    </row>
    <row r="31" spans="25:28" x14ac:dyDescent="0.3">
      <c r="Y31">
        <f t="shared" si="2"/>
        <v>0</v>
      </c>
    </row>
    <row r="32" spans="25:28" x14ac:dyDescent="0.3">
      <c r="Y32">
        <f t="shared" si="2"/>
        <v>0</v>
      </c>
    </row>
    <row r="33" spans="25:25" x14ac:dyDescent="0.3">
      <c r="Y33">
        <f t="shared" si="2"/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1CBC-9F8E-4D6D-9303-1E0B4AFE1FF3}">
  <dimension ref="A1:AB33"/>
  <sheetViews>
    <sheetView topLeftCell="Q1" workbookViewId="0">
      <selection activeCell="Y3" sqref="Y3:AB3"/>
    </sheetView>
  </sheetViews>
  <sheetFormatPr defaultRowHeight="14.4" x14ac:dyDescent="0.3"/>
  <sheetData>
    <row r="1" spans="1:28" x14ac:dyDescent="0.3">
      <c r="A1">
        <v>7755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LeoV</v>
      </c>
      <c r="B3">
        <v>9</v>
      </c>
      <c r="C3" t="str">
        <v>B1</v>
      </c>
      <c r="D3">
        <v>7755</v>
      </c>
      <c r="E3" t="str">
        <v>D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6</v>
      </c>
      <c r="P3">
        <v>5</v>
      </c>
      <c r="Q3">
        <v>94</v>
      </c>
      <c r="R3" t="str">
        <v>false</v>
      </c>
      <c r="S3" t="str">
        <v>NA</v>
      </c>
      <c r="T3" t="str">
        <v>false</v>
      </c>
      <c r="U3" t="str">
        <v>false</v>
      </c>
      <c r="V3" t="str">
        <v>Slow did a little bit of defence in the alliance zone</v>
      </c>
      <c r="W3">
        <v>2</v>
      </c>
      <c r="Y3">
        <f>SUM($N$3:$P$3)</f>
        <v>11</v>
      </c>
      <c r="AB3">
        <f>IF(B3,SUM(N3:P3),"")</f>
        <v>11</v>
      </c>
    </row>
    <row r="4" spans="1:28" x14ac:dyDescent="0.3">
      <c r="A4" t="str">
        <v>LeoV</v>
      </c>
      <c r="B4">
        <v>25</v>
      </c>
      <c r="C4" t="str">
        <v>B1</v>
      </c>
      <c r="D4">
        <v>7755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4</v>
      </c>
      <c r="O4">
        <v>6</v>
      </c>
      <c r="P4">
        <v>15</v>
      </c>
      <c r="Q4">
        <v>51</v>
      </c>
      <c r="R4" t="str">
        <v>false</v>
      </c>
      <c r="S4" t="str">
        <v>NA</v>
      </c>
      <c r="T4" t="str">
        <v>false</v>
      </c>
      <c r="U4" t="str">
        <v>false</v>
      </c>
      <c r="V4" t="str">
        <v>Slow collected a lot of balles</v>
      </c>
      <c r="W4">
        <v>3</v>
      </c>
      <c r="Y4">
        <f>SUM($N$4:$P$4)</f>
        <v>25</v>
      </c>
      <c r="AB4">
        <f t="shared" ref="AB4:AB20" si="0">IF(B4,SUM(N4:P4),"")</f>
        <v>25</v>
      </c>
    </row>
    <row r="5" spans="1:28" x14ac:dyDescent="0.3">
      <c r="A5" t="str">
        <v>Nick</v>
      </c>
      <c r="B5">
        <v>32</v>
      </c>
      <c r="C5" t="str">
        <v>B3</v>
      </c>
      <c r="D5">
        <v>7755</v>
      </c>
      <c r="E5" t="str">
        <v>O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5</v>
      </c>
      <c r="O5">
        <v>3</v>
      </c>
      <c r="P5">
        <v>20</v>
      </c>
      <c r="Q5">
        <v>89</v>
      </c>
      <c r="R5" t="str">
        <v>false</v>
      </c>
      <c r="S5" t="str">
        <v>NA</v>
      </c>
      <c r="T5" t="str">
        <v>false</v>
      </c>
      <c r="U5" t="str">
        <v>false</v>
      </c>
      <c r="V5" t="str">
        <v>Passes most balls to the outpost</v>
      </c>
      <c r="W5">
        <v>3</v>
      </c>
      <c r="Y5">
        <f>SUM($N$5:$P$5)</f>
        <v>28</v>
      </c>
      <c r="AB5">
        <f t="shared" si="0"/>
        <v>28</v>
      </c>
    </row>
    <row r="6" spans="1:28" x14ac:dyDescent="0.3">
      <c r="A6" t="str">
        <v>JV</v>
      </c>
      <c r="B6">
        <v>47</v>
      </c>
      <c r="C6" t="str">
        <v>R3</v>
      </c>
      <c r="D6">
        <v>7755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21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Prioritized feeding human player</v>
      </c>
      <c r="W6">
        <v>3</v>
      </c>
      <c r="Y6">
        <f>SUM($N$6:$P$6)</f>
        <v>21</v>
      </c>
      <c r="AB6">
        <f t="shared" si="0"/>
        <v>21</v>
      </c>
    </row>
    <row r="7" spans="1:28" x14ac:dyDescent="0.3">
      <c r="A7" t="str">
        <v>AA</v>
      </c>
      <c r="B7">
        <v>61</v>
      </c>
      <c r="C7" t="str">
        <v>R2</v>
      </c>
      <c r="D7">
        <v>7755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3</v>
      </c>
      <c r="O7">
        <v>30</v>
      </c>
      <c r="P7">
        <v>0</v>
      </c>
      <c r="Q7">
        <v>98</v>
      </c>
      <c r="R7" t="str">
        <v>false</v>
      </c>
      <c r="S7" t="str">
        <v>NA</v>
      </c>
      <c r="T7" t="str">
        <v>false</v>
      </c>
      <c r="U7" t="str">
        <v>false</v>
      </c>
      <c r="V7" t="str">
        <v xml:space="preserve">Bad carry, did support just poorly, slow, no defense </v>
      </c>
      <c r="W7">
        <v>3</v>
      </c>
      <c r="Y7">
        <f>SUM($N$7:$P$7)</f>
        <v>33</v>
      </c>
      <c r="AB7">
        <f t="shared" si="0"/>
        <v>33</v>
      </c>
    </row>
    <row r="8" spans="1:28" x14ac:dyDescent="0.3">
      <c r="A8" t="str">
        <v>JV</v>
      </c>
      <c r="B8">
        <v>77</v>
      </c>
      <c r="C8" t="str">
        <v>R3</v>
      </c>
      <c r="D8">
        <v>7755</v>
      </c>
      <c r="E8" t="str">
        <v>H</v>
      </c>
      <c r="F8" t="str">
        <v>false</v>
      </c>
      <c r="G8" t="str">
        <v>true</v>
      </c>
      <c r="H8" t="str">
        <v>true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30</v>
      </c>
      <c r="O8">
        <v>0</v>
      </c>
      <c r="P8">
        <v>0</v>
      </c>
      <c r="Q8">
        <v>100</v>
      </c>
      <c r="R8" t="str">
        <v>false</v>
      </c>
      <c r="S8" t="str">
        <v>NA</v>
      </c>
      <c r="T8" t="str">
        <v>false</v>
      </c>
      <c r="U8" t="str">
        <v>false</v>
      </c>
      <c r="V8" t="str">
        <v xml:space="preserve">Focused on basic offense </v>
      </c>
      <c r="W8">
        <v>3</v>
      </c>
      <c r="Y8">
        <f>SUM($N$8:$P$8)</f>
        <v>30</v>
      </c>
      <c r="AB8">
        <f t="shared" si="0"/>
        <v>30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BBA3-9AF2-427A-86D5-C7E5AF2A9B63}">
  <dimension ref="A1:AB33"/>
  <sheetViews>
    <sheetView topLeftCell="G1" workbookViewId="0">
      <selection activeCell="AB3" sqref="AB3:AB26"/>
    </sheetView>
  </sheetViews>
  <sheetFormatPr defaultRowHeight="14.4" x14ac:dyDescent="0.3"/>
  <sheetData>
    <row r="1" spans="1:28" x14ac:dyDescent="0.3">
      <c r="A1">
        <v>8012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Joep</v>
      </c>
      <c r="B3">
        <v>6</v>
      </c>
      <c r="C3" t="str">
        <v>B2</v>
      </c>
      <c r="D3">
        <v>8012</v>
      </c>
      <c r="E3" t="str">
        <v>H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true</v>
      </c>
      <c r="U3" t="str">
        <v>false</v>
      </c>
      <c r="V3">
        <v>0</v>
      </c>
      <c r="W3">
        <v>3</v>
      </c>
      <c r="Y3">
        <f>SUM($N$3:$P$3)</f>
        <v>0</v>
      </c>
      <c r="AB3">
        <f>IF(B3,SUM(N3:P3),"")</f>
        <v>0</v>
      </c>
    </row>
    <row r="4" spans="1:28" x14ac:dyDescent="0.3">
      <c r="A4" t="str">
        <v>Anita Karki</v>
      </c>
      <c r="B4">
        <v>14</v>
      </c>
      <c r="C4" t="str">
        <v>R3</v>
      </c>
      <c r="D4">
        <v>8012</v>
      </c>
      <c r="E4" t="str">
        <v>H</v>
      </c>
      <c r="F4" t="str">
        <v>false</v>
      </c>
      <c r="G4" t="str">
        <v>false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</v>
      </c>
      <c r="R4" t="str">
        <v>false</v>
      </c>
      <c r="S4" t="str">
        <v>NA</v>
      </c>
      <c r="T4" t="str">
        <v>false</v>
      </c>
      <c r="U4" t="str">
        <v>false</v>
      </c>
      <c r="V4" t="str">
        <v>deden vrij weinig</v>
      </c>
      <c r="W4">
        <v>1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JV</v>
      </c>
      <c r="B5">
        <v>41</v>
      </c>
      <c r="C5" t="str">
        <v>R3</v>
      </c>
      <c r="D5">
        <v>8012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1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 t="str">
        <v>Focused on feeding balls to team</v>
      </c>
      <c r="W5">
        <v>3</v>
      </c>
      <c r="Y5">
        <f>SUM($N$5:$P$5)</f>
        <v>1</v>
      </c>
      <c r="AB5">
        <f t="shared" si="0"/>
        <v>1</v>
      </c>
    </row>
    <row r="6" spans="1:28" x14ac:dyDescent="0.3">
      <c r="A6" t="str">
        <v>Yannis</v>
      </c>
      <c r="B6">
        <v>69</v>
      </c>
      <c r="C6" t="str">
        <v>R1</v>
      </c>
      <c r="D6">
        <v>8012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Did nothing but shove fuel</v>
      </c>
      <c r="W6">
        <v>2</v>
      </c>
      <c r="Y6">
        <f>SUM($N$6:$P$6)</f>
        <v>0</v>
      </c>
      <c r="AB6">
        <f t="shared" si="0"/>
        <v>0</v>
      </c>
    </row>
    <row r="7" spans="1:28" x14ac:dyDescent="0.3">
      <c r="A7" t="str">
        <v>Jippe</v>
      </c>
      <c r="B7">
        <v>75</v>
      </c>
      <c r="C7" t="str">
        <v>R2</v>
      </c>
      <c r="D7">
        <v>8012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No attempt</v>
      </c>
      <c r="K7" t="str">
        <v>true</v>
      </c>
      <c r="L7" t="str">
        <v>false</v>
      </c>
      <c r="M7" t="str">
        <v>false</v>
      </c>
      <c r="N7">
        <v>1</v>
      </c>
      <c r="O7">
        <v>6</v>
      </c>
      <c r="P7">
        <v>0</v>
      </c>
      <c r="Q7">
        <v>56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3</v>
      </c>
      <c r="Y7">
        <f>SUM($N$7:$P$7)</f>
        <v>7</v>
      </c>
      <c r="AB7">
        <f t="shared" si="0"/>
        <v>7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FE5C-71DC-47EE-BA33-3B58EA0C04FB}">
  <dimension ref="A1:AB33"/>
  <sheetViews>
    <sheetView topLeftCell="G1" zoomScaleNormal="100" workbookViewId="0">
      <selection activeCell="AB3" sqref="AB3:AB26"/>
    </sheetView>
  </sheetViews>
  <sheetFormatPr defaultRowHeight="14.4" x14ac:dyDescent="0.3"/>
  <sheetData>
    <row r="1" spans="1:28" x14ac:dyDescent="0.3">
      <c r="A1">
        <v>8717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LeoV</v>
      </c>
      <c r="B3">
        <v>13</v>
      </c>
      <c r="C3" t="str">
        <v>B2</v>
      </c>
      <c r="D3">
        <v>8717</v>
      </c>
      <c r="E3" t="str">
        <v>H</v>
      </c>
      <c r="F3" t="str">
        <v>false</v>
      </c>
      <c r="G3" t="str">
        <v>true</v>
      </c>
      <c r="H3" t="str">
        <v>true</v>
      </c>
      <c r="I3" t="str">
        <v>true</v>
      </c>
      <c r="J3">
        <v>0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20</v>
      </c>
      <c r="Q3">
        <v>24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3</v>
      </c>
      <c r="Y3">
        <f>SUM($N$3:$P$3)</f>
        <v>20</v>
      </c>
      <c r="AB3">
        <f>IF(B3,SUM(N3:P3),"")</f>
        <v>20</v>
      </c>
    </row>
    <row r="4" spans="1:28" x14ac:dyDescent="0.3">
      <c r="A4" t="str">
        <v>JV</v>
      </c>
      <c r="B4">
        <v>36</v>
      </c>
      <c r="C4" t="str">
        <v>R3</v>
      </c>
      <c r="D4">
        <v>8717</v>
      </c>
      <c r="E4" t="str">
        <v>H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8</v>
      </c>
      <c r="O4">
        <v>0</v>
      </c>
      <c r="P4">
        <v>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 t="str">
        <v>Was all over the and kept missing balls.</v>
      </c>
      <c r="W4">
        <v>2</v>
      </c>
      <c r="Y4">
        <f>SUM($N$4:$P$4)</f>
        <v>8</v>
      </c>
      <c r="AB4">
        <f t="shared" ref="AB4:AB20" si="0">IF(B4,SUM(N4:P4),"")</f>
        <v>8</v>
      </c>
    </row>
    <row r="5" spans="1:28" x14ac:dyDescent="0.3">
      <c r="A5" t="str">
        <v>Joep</v>
      </c>
      <c r="B5">
        <v>43</v>
      </c>
      <c r="C5" t="str">
        <v>B1</v>
      </c>
      <c r="D5">
        <v>8717</v>
      </c>
      <c r="E5" t="str">
        <v>H</v>
      </c>
      <c r="F5" t="str">
        <v>false</v>
      </c>
      <c r="G5" t="str">
        <v>true</v>
      </c>
      <c r="H5" t="str">
        <v>true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true</v>
      </c>
      <c r="S5" t="str">
        <v>NA</v>
      </c>
      <c r="T5" t="str">
        <v>false</v>
      </c>
      <c r="U5" t="str">
        <v>false</v>
      </c>
      <c r="V5">
        <v>0</v>
      </c>
      <c r="W5">
        <v>3</v>
      </c>
      <c r="Y5">
        <f>SUM($N$5:$P$5)</f>
        <v>0</v>
      </c>
      <c r="AB5">
        <f t="shared" si="0"/>
        <v>0</v>
      </c>
    </row>
    <row r="6" spans="1:28" x14ac:dyDescent="0.3">
      <c r="A6" t="str">
        <v>GD</v>
      </c>
      <c r="B6">
        <v>64</v>
      </c>
      <c r="C6" t="str">
        <v>R3</v>
      </c>
      <c r="D6">
        <v>8717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No attempt</v>
      </c>
      <c r="K6" t="str">
        <v>false</v>
      </c>
      <c r="L6" t="str">
        <v>false</v>
      </c>
      <c r="M6" t="str">
        <v>false</v>
      </c>
      <c r="N6">
        <v>37</v>
      </c>
      <c r="O6">
        <v>0</v>
      </c>
      <c r="P6">
        <v>0</v>
      </c>
      <c r="Q6">
        <v>24</v>
      </c>
      <c r="R6" t="str">
        <v>true</v>
      </c>
      <c r="S6" t="str">
        <v>NA</v>
      </c>
      <c r="T6" t="str">
        <v>false</v>
      </c>
      <c r="U6" t="str">
        <v>false</v>
      </c>
      <c r="V6">
        <v>0</v>
      </c>
      <c r="W6">
        <v>3</v>
      </c>
      <c r="Y6">
        <f>SUM($N$6:$P$6)</f>
        <v>37</v>
      </c>
      <c r="AB6">
        <f t="shared" si="0"/>
        <v>37</v>
      </c>
    </row>
    <row r="7" spans="1:28" x14ac:dyDescent="0.3">
      <c r="A7" t="str">
        <v>Maud</v>
      </c>
      <c r="B7">
        <v>71</v>
      </c>
      <c r="C7" t="str">
        <v>R1</v>
      </c>
      <c r="D7">
        <v>8717</v>
      </c>
      <c r="E7" t="str">
        <v>D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3</v>
      </c>
      <c r="P7">
        <v>15</v>
      </c>
      <c r="Q7">
        <v>38</v>
      </c>
      <c r="R7" t="str">
        <v>false</v>
      </c>
      <c r="S7" t="str">
        <v>NA</v>
      </c>
      <c r="T7" t="str">
        <v>false</v>
      </c>
      <c r="U7" t="str">
        <v>false</v>
      </c>
      <c r="V7" t="str">
        <v>In begin shot over the hub</v>
      </c>
      <c r="W7">
        <v>3</v>
      </c>
      <c r="Y7">
        <f>SUM($N$7:$P$7)</f>
        <v>18</v>
      </c>
      <c r="AB7">
        <f t="shared" si="0"/>
        <v>18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8AB4-59A1-4870-A8A4-1D4DD95409D9}">
  <dimension ref="A1:AB33"/>
  <sheetViews>
    <sheetView topLeftCell="G1" workbookViewId="0">
      <selection activeCell="AB3" sqref="AB3:AB26"/>
    </sheetView>
  </sheetViews>
  <sheetFormatPr defaultRowHeight="14.4" x14ac:dyDescent="0.3"/>
  <sheetData>
    <row r="1" spans="1:28" x14ac:dyDescent="0.3">
      <c r="A1">
        <v>9059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Mil g</v>
      </c>
      <c r="B3">
        <v>3</v>
      </c>
      <c r="C3" t="str">
        <v>B2</v>
      </c>
      <c r="D3">
        <v>9059</v>
      </c>
      <c r="E3" t="str">
        <v>D</v>
      </c>
      <c r="F3" t="str">
        <v>false</v>
      </c>
      <c r="G3" t="str">
        <v>true</v>
      </c>
      <c r="H3" t="str">
        <v>true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3</v>
      </c>
      <c r="P3">
        <v>0</v>
      </c>
      <c r="Q3">
        <v>1</v>
      </c>
      <c r="R3" t="str">
        <v>false</v>
      </c>
      <c r="S3" t="str">
        <v>NA</v>
      </c>
      <c r="T3" t="str">
        <v>false</v>
      </c>
      <c r="U3" t="str">
        <v>false</v>
      </c>
      <c r="V3" t="str">
        <v>Got stuck on fuel, and didn»t do much during the game</v>
      </c>
      <c r="W3">
        <v>3</v>
      </c>
      <c r="Y3">
        <f>SUM($N$3:$P$3)</f>
        <v>3</v>
      </c>
      <c r="AB3">
        <f>IF(B3,SUM(N3:P3),"")</f>
        <v>3</v>
      </c>
    </row>
    <row r="4" spans="1:28" x14ac:dyDescent="0.3">
      <c r="A4" t="str">
        <v>Joep</v>
      </c>
      <c r="B4">
        <v>10</v>
      </c>
      <c r="C4" t="str">
        <v>B1</v>
      </c>
      <c r="D4">
        <v>9059</v>
      </c>
      <c r="E4" t="str">
        <v>D</v>
      </c>
      <c r="F4" t="str">
        <v>false</v>
      </c>
      <c r="G4" t="str">
        <v>false</v>
      </c>
      <c r="H4" t="str">
        <v>true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18</v>
      </c>
      <c r="O4">
        <v>0</v>
      </c>
      <c r="P4">
        <v>0</v>
      </c>
      <c r="Q4">
        <v>30</v>
      </c>
      <c r="R4" t="str">
        <v>false</v>
      </c>
      <c r="S4" t="str">
        <v>NA</v>
      </c>
      <c r="T4" t="str">
        <v>false</v>
      </c>
      <c r="U4" t="str">
        <v>false</v>
      </c>
      <c r="V4" t="str">
        <v>Got 3 times stuck on bump</v>
      </c>
      <c r="W4">
        <v>3</v>
      </c>
      <c r="Y4">
        <f>SUM($N$4:$P$4)</f>
        <v>18</v>
      </c>
      <c r="AB4">
        <f t="shared" ref="AB4:AB20" si="0">IF(B4,SUM(N4:P4),"")</f>
        <v>18</v>
      </c>
    </row>
    <row r="5" spans="1:28" x14ac:dyDescent="0.3">
      <c r="A5" t="str">
        <v>JV</v>
      </c>
      <c r="B5">
        <v>28</v>
      </c>
      <c r="C5" t="str">
        <v>R3</v>
      </c>
      <c r="D5">
        <v>9059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 t="str">
        <v>Stood still most of the time</v>
      </c>
      <c r="W5">
        <v>2</v>
      </c>
      <c r="Y5">
        <f>SUM($N$5:$P$5)</f>
        <v>0</v>
      </c>
      <c r="AB5">
        <f t="shared" si="0"/>
        <v>0</v>
      </c>
    </row>
    <row r="6" spans="1:28" x14ac:dyDescent="0.3">
      <c r="A6" t="str">
        <v>Jippe</v>
      </c>
      <c r="B6">
        <v>38</v>
      </c>
      <c r="C6" t="str">
        <v>B1</v>
      </c>
      <c r="D6">
        <v>9059</v>
      </c>
      <c r="E6" t="str">
        <v>D</v>
      </c>
      <c r="F6" t="str">
        <v>false</v>
      </c>
      <c r="G6" t="str">
        <v>true</v>
      </c>
      <c r="H6" t="str">
        <v>true</v>
      </c>
      <c r="I6" t="str">
        <v>true</v>
      </c>
      <c r="J6" t="str">
        <v>No attempt</v>
      </c>
      <c r="K6" t="str">
        <v>true</v>
      </c>
      <c r="L6" t="str">
        <v>false</v>
      </c>
      <c r="M6" t="str">
        <v>false</v>
      </c>
      <c r="N6">
        <v>0</v>
      </c>
      <c r="O6">
        <v>9</v>
      </c>
      <c r="P6">
        <v>5</v>
      </c>
      <c r="Q6">
        <v>8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2</v>
      </c>
      <c r="Y6">
        <f>SUM($N$6:$P$6)</f>
        <v>14</v>
      </c>
      <c r="AB6">
        <f t="shared" si="0"/>
        <v>14</v>
      </c>
    </row>
    <row r="7" spans="1:28" x14ac:dyDescent="0.3">
      <c r="A7" t="str">
        <v>Yannis</v>
      </c>
      <c r="B7">
        <v>68</v>
      </c>
      <c r="C7" t="str">
        <v>B3</v>
      </c>
      <c r="D7">
        <v>9059</v>
      </c>
      <c r="E7" t="str">
        <v>D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1</v>
      </c>
      <c r="O7">
        <v>6</v>
      </c>
      <c r="P7">
        <v>10</v>
      </c>
      <c r="Q7">
        <v>29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2</v>
      </c>
      <c r="Y7">
        <f>SUM($N$7:$P$7)</f>
        <v>17</v>
      </c>
      <c r="AB7">
        <f t="shared" si="0"/>
        <v>17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0866-8470-4DA9-AE97-E15C52C41947}">
  <dimension ref="A1:AB33"/>
  <sheetViews>
    <sheetView topLeftCell="E1" workbookViewId="0">
      <selection activeCell="AB3" sqref="AB3:AB26"/>
    </sheetView>
  </sheetViews>
  <sheetFormatPr defaultRowHeight="14.4" x14ac:dyDescent="0.3"/>
  <sheetData>
    <row r="1" spans="1:28" x14ac:dyDescent="0.3">
      <c r="A1">
        <v>9091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9">_xlfn._xlws.FILTER(Tabel1[], Tabel1[Team Number]=A1, "Geen resultaten")</f>
        <v>LeoV</v>
      </c>
      <c r="B3">
        <v>1</v>
      </c>
      <c r="C3" t="str">
        <v>R3</v>
      </c>
      <c r="D3">
        <v>9091</v>
      </c>
      <c r="E3" t="str">
        <v>H</v>
      </c>
      <c r="F3" t="str">
        <v>true</v>
      </c>
      <c r="G3" t="str">
        <v>false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1</v>
      </c>
      <c r="Y3">
        <f>SUM($N$3:$P$3)</f>
        <v>0</v>
      </c>
      <c r="AB3">
        <f>IF(B3,SUM(N3:P3),"")</f>
        <v>0</v>
      </c>
    </row>
    <row r="4" spans="1:28" x14ac:dyDescent="0.3">
      <c r="A4" t="str">
        <v>Nick</v>
      </c>
      <c r="B4">
        <v>11</v>
      </c>
      <c r="C4" t="str">
        <v>B1</v>
      </c>
      <c r="D4">
        <v>9091</v>
      </c>
      <c r="E4" t="str">
        <v>D</v>
      </c>
      <c r="F4" t="str">
        <v>true</v>
      </c>
      <c r="G4" t="str">
        <v>false</v>
      </c>
      <c r="H4" t="str">
        <v>false</v>
      </c>
      <c r="I4" t="str">
        <v>false</v>
      </c>
      <c r="J4">
        <v>0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AA</v>
      </c>
      <c r="B5">
        <v>21</v>
      </c>
      <c r="C5" t="str">
        <v>R2</v>
      </c>
      <c r="D5">
        <v>9091</v>
      </c>
      <c r="E5" t="str">
        <v>H</v>
      </c>
      <c r="F5" t="str">
        <v>true</v>
      </c>
      <c r="G5" t="str">
        <v>false</v>
      </c>
      <c r="H5" t="str">
        <v>false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5</v>
      </c>
      <c r="Y5">
        <f>SUM($N$5:$P$5)</f>
        <v>0</v>
      </c>
      <c r="AB5">
        <f t="shared" si="0"/>
        <v>0</v>
      </c>
    </row>
    <row r="6" spans="1:28" x14ac:dyDescent="0.3">
      <c r="A6" t="str">
        <v>JV</v>
      </c>
      <c r="B6">
        <v>43</v>
      </c>
      <c r="C6" t="str">
        <v>R3</v>
      </c>
      <c r="D6">
        <v>9091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Stuck all of the game</v>
      </c>
      <c r="W6">
        <v>1</v>
      </c>
      <c r="Y6">
        <f>SUM($N$6:$P$6)</f>
        <v>0</v>
      </c>
      <c r="AB6">
        <f t="shared" si="0"/>
        <v>0</v>
      </c>
    </row>
    <row r="7" spans="1:28" x14ac:dyDescent="0.3">
      <c r="A7" t="str">
        <v>GD</v>
      </c>
      <c r="B7">
        <v>54</v>
      </c>
      <c r="C7" t="str">
        <v>R1</v>
      </c>
      <c r="D7">
        <v>9091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true</v>
      </c>
      <c r="M7" t="str">
        <v>false</v>
      </c>
      <c r="N7">
        <v>14</v>
      </c>
      <c r="O7">
        <v>0</v>
      </c>
      <c r="P7">
        <v>0</v>
      </c>
      <c r="Q7">
        <v>76</v>
      </c>
      <c r="R7" t="str">
        <v>true</v>
      </c>
      <c r="S7" t="str">
        <v>NA</v>
      </c>
      <c r="T7" t="str">
        <v>false</v>
      </c>
      <c r="U7" t="str">
        <v>false</v>
      </c>
      <c r="V7">
        <v>0</v>
      </c>
      <c r="W7">
        <v>4</v>
      </c>
      <c r="Y7">
        <f>SUM($N$7:$P$7)</f>
        <v>14</v>
      </c>
      <c r="AB7">
        <f t="shared" si="0"/>
        <v>14</v>
      </c>
    </row>
    <row r="8" spans="1:28" x14ac:dyDescent="0.3">
      <c r="A8" t="str">
        <v>Jippe</v>
      </c>
      <c r="B8">
        <v>68</v>
      </c>
      <c r="C8" t="str">
        <v>B1</v>
      </c>
      <c r="D8">
        <v>9091</v>
      </c>
      <c r="E8" t="str">
        <v>O</v>
      </c>
      <c r="F8" t="str">
        <v>true</v>
      </c>
      <c r="G8" t="str">
        <v>false</v>
      </c>
      <c r="H8" t="str">
        <v>false</v>
      </c>
      <c r="I8" t="str">
        <v>false</v>
      </c>
      <c r="J8" t="str">
        <v>No attempt</v>
      </c>
      <c r="K8" t="str">
        <v>false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100</v>
      </c>
      <c r="R8" t="str">
        <v>false</v>
      </c>
      <c r="S8" t="str">
        <v>NA</v>
      </c>
      <c r="T8" t="str">
        <v>false</v>
      </c>
      <c r="U8" t="str">
        <v>false</v>
      </c>
      <c r="V8">
        <v>0</v>
      </c>
      <c r="W8">
        <v>5</v>
      </c>
      <c r="Y8">
        <f>SUM($N$8:$P$8)</f>
        <v>0</v>
      </c>
      <c r="AB8">
        <f t="shared" si="0"/>
        <v>0</v>
      </c>
    </row>
    <row r="9" spans="1:28" x14ac:dyDescent="0.3">
      <c r="A9" t="str">
        <v>AA</v>
      </c>
      <c r="B9">
        <v>77</v>
      </c>
      <c r="C9" t="str">
        <v>R2</v>
      </c>
      <c r="D9">
        <v>9091</v>
      </c>
      <c r="E9" t="str">
        <v>H</v>
      </c>
      <c r="F9" t="str">
        <v>false</v>
      </c>
      <c r="G9" t="str">
        <v>true</v>
      </c>
      <c r="H9" t="str">
        <v>false</v>
      </c>
      <c r="I9" t="str">
        <v>false</v>
      </c>
      <c r="J9" t="str">
        <v>NA</v>
      </c>
      <c r="K9" t="str">
        <v>true</v>
      </c>
      <c r="L9" t="str">
        <v>false</v>
      </c>
      <c r="M9" t="str">
        <v>false</v>
      </c>
      <c r="N9">
        <v>0</v>
      </c>
      <c r="O9">
        <v>0</v>
      </c>
      <c r="P9">
        <v>0</v>
      </c>
      <c r="Q9">
        <v>100</v>
      </c>
      <c r="R9" t="str">
        <v>false</v>
      </c>
      <c r="S9" t="str">
        <v>NA</v>
      </c>
      <c r="T9" t="str">
        <v>false</v>
      </c>
      <c r="U9" t="str">
        <v>false</v>
      </c>
      <c r="V9" t="str">
        <v xml:space="preserve">Only did support but it was not beneficial </v>
      </c>
      <c r="W9">
        <v>3</v>
      </c>
      <c r="Y9">
        <f>SUM($N$9:$P$9)</f>
        <v>0</v>
      </c>
      <c r="AB9">
        <f t="shared" si="0"/>
        <v>0</v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3290-81B9-467E-8158-3BA5E31667BC}">
  <dimension ref="A1:AB33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9501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9">_xlfn._xlws.FILTER(Tabel1[], Tabel1[Team Number]=A1, "Geen resultaten")</f>
        <v>Mil g</v>
      </c>
      <c r="B3">
        <v>7</v>
      </c>
      <c r="C3" t="str">
        <v>B3</v>
      </c>
      <c r="D3">
        <v>9501</v>
      </c>
      <c r="E3" t="str">
        <v>D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true</v>
      </c>
      <c r="L3" t="str">
        <v>false</v>
      </c>
      <c r="M3" t="str">
        <v>true</v>
      </c>
      <c r="N3">
        <v>0</v>
      </c>
      <c r="O3">
        <v>0</v>
      </c>
      <c r="P3">
        <v>35</v>
      </c>
      <c r="Q3">
        <v>100</v>
      </c>
      <c r="R3" t="str">
        <v>false</v>
      </c>
      <c r="S3" t="str">
        <v>NA</v>
      </c>
      <c r="T3" t="str">
        <v>true</v>
      </c>
      <c r="U3" t="str">
        <v>false</v>
      </c>
      <c r="V3" t="str">
        <v>Came back from death</v>
      </c>
      <c r="W3">
        <v>4</v>
      </c>
      <c r="Y3">
        <f>SUM($N$3:$P$3)</f>
        <v>35</v>
      </c>
      <c r="AB3">
        <f>IF(B3,SUM(N3:P3),"")</f>
        <v>35</v>
      </c>
    </row>
    <row r="4" spans="1:28" x14ac:dyDescent="0.3">
      <c r="A4" t="str">
        <v>LeoV</v>
      </c>
      <c r="B4">
        <v>23</v>
      </c>
      <c r="C4" t="str">
        <v>B1</v>
      </c>
      <c r="D4">
        <v>9501</v>
      </c>
      <c r="E4" t="str">
        <v>D</v>
      </c>
      <c r="F4" t="str">
        <v>false</v>
      </c>
      <c r="G4" t="str">
        <v>true</v>
      </c>
      <c r="H4" t="str">
        <v>false</v>
      </c>
      <c r="I4" t="str">
        <v>true</v>
      </c>
      <c r="J4" t="str">
        <v>NA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75</v>
      </c>
      <c r="Q4">
        <v>90</v>
      </c>
      <c r="R4" t="str">
        <v>false</v>
      </c>
      <c r="S4" t="str">
        <v>NA</v>
      </c>
      <c r="T4" t="str">
        <v>false</v>
      </c>
      <c r="U4" t="str">
        <v>false</v>
      </c>
      <c r="V4" t="str">
        <v>Fast and accurate</v>
      </c>
      <c r="W4">
        <v>4</v>
      </c>
      <c r="Y4">
        <f>SUM($N$4:$P$4)</f>
        <v>75</v>
      </c>
      <c r="AB4">
        <f t="shared" ref="AB4:AB20" si="0">IF(B4,SUM(N4:P4),"")</f>
        <v>75</v>
      </c>
    </row>
    <row r="5" spans="1:28" x14ac:dyDescent="0.3">
      <c r="A5" t="str">
        <v>Mil G</v>
      </c>
      <c r="B5">
        <v>30</v>
      </c>
      <c r="C5" t="str">
        <v>R2</v>
      </c>
      <c r="D5">
        <v>9501</v>
      </c>
      <c r="E5" t="str">
        <v>O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true</v>
      </c>
      <c r="N5">
        <v>0</v>
      </c>
      <c r="O5">
        <v>0</v>
      </c>
      <c r="P5">
        <v>30</v>
      </c>
      <c r="Q5">
        <v>100</v>
      </c>
      <c r="R5" t="str">
        <v>true</v>
      </c>
      <c r="S5" t="str">
        <v>NA</v>
      </c>
      <c r="T5" t="str">
        <v>false</v>
      </c>
      <c r="U5" t="str">
        <v>false</v>
      </c>
      <c r="V5" t="str">
        <v>Mainly defense this match, mainly pushing the fuels towards human players</v>
      </c>
      <c r="W5">
        <v>5</v>
      </c>
      <c r="Y5">
        <f>SUM($N$5:$P$5)</f>
        <v>30</v>
      </c>
      <c r="AB5">
        <f t="shared" si="0"/>
        <v>30</v>
      </c>
    </row>
    <row r="6" spans="1:28" x14ac:dyDescent="0.3">
      <c r="A6" t="str">
        <v>JV</v>
      </c>
      <c r="B6">
        <v>37</v>
      </c>
      <c r="C6" t="str">
        <v>R3</v>
      </c>
      <c r="D6">
        <v>9501</v>
      </c>
      <c r="E6" t="str">
        <v>H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84</v>
      </c>
      <c r="O6">
        <v>0</v>
      </c>
      <c r="P6">
        <v>0</v>
      </c>
      <c r="Q6">
        <v>79</v>
      </c>
      <c r="R6" t="str">
        <v>false</v>
      </c>
      <c r="S6" t="str">
        <v>NA</v>
      </c>
      <c r="T6" t="str">
        <v>false</v>
      </c>
      <c r="U6" t="str">
        <v>false</v>
      </c>
      <c r="V6" t="str">
        <v>Mai ly focused on shooting and did a great job with great mobility and aim.</v>
      </c>
      <c r="W6">
        <v>5</v>
      </c>
      <c r="Y6">
        <f>SUM($N$6:$P$6)</f>
        <v>84</v>
      </c>
      <c r="AB6">
        <f t="shared" si="0"/>
        <v>84</v>
      </c>
    </row>
    <row r="7" spans="1:28" x14ac:dyDescent="0.3">
      <c r="A7" t="str">
        <v>Joep</v>
      </c>
      <c r="B7">
        <v>48</v>
      </c>
      <c r="C7" t="str">
        <v>B1</v>
      </c>
      <c r="D7">
        <v>9501</v>
      </c>
      <c r="E7" t="str">
        <v>O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6</v>
      </c>
      <c r="O7">
        <v>0</v>
      </c>
      <c r="P7">
        <v>75</v>
      </c>
      <c r="Q7">
        <v>100</v>
      </c>
      <c r="R7" t="str">
        <v>false</v>
      </c>
      <c r="S7" t="str">
        <v>NA</v>
      </c>
      <c r="T7" t="str">
        <v>true</v>
      </c>
      <c r="U7" t="str">
        <v>false</v>
      </c>
      <c r="V7" t="str">
        <v>Only does at end game</v>
      </c>
      <c r="W7">
        <v>5</v>
      </c>
      <c r="Y7">
        <f>SUM($N$7:$P$7)</f>
        <v>81</v>
      </c>
      <c r="AB7">
        <f t="shared" si="0"/>
        <v>81</v>
      </c>
    </row>
    <row r="8" spans="1:28" x14ac:dyDescent="0.3">
      <c r="A8" t="str">
        <v>Yannis</v>
      </c>
      <c r="B8">
        <v>67</v>
      </c>
      <c r="C8" t="str">
        <v>B3</v>
      </c>
      <c r="D8">
        <v>9501</v>
      </c>
      <c r="E8" t="str">
        <v>D</v>
      </c>
      <c r="F8" t="str">
        <v>false</v>
      </c>
      <c r="G8" t="str">
        <v>true</v>
      </c>
      <c r="H8" t="str">
        <v>true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0</v>
      </c>
      <c r="O8">
        <v>0</v>
      </c>
      <c r="P8">
        <v>25</v>
      </c>
      <c r="Q8">
        <v>66</v>
      </c>
      <c r="R8" t="str">
        <v>false</v>
      </c>
      <c r="S8" t="str">
        <v>NA</v>
      </c>
      <c r="T8" t="str">
        <v>true</v>
      </c>
      <c r="U8" t="str">
        <v>false</v>
      </c>
      <c r="V8" t="str">
        <v>Shooter malfunctioned during auto, first 15 sec of teleop it didnt work, then it kept dieing and working again in a cycle</v>
      </c>
      <c r="W8">
        <v>1</v>
      </c>
      <c r="Y8">
        <f>SUM($N$8:$P$8)</f>
        <v>25</v>
      </c>
      <c r="AB8">
        <f t="shared" si="0"/>
        <v>25</v>
      </c>
    </row>
    <row r="9" spans="1:28" x14ac:dyDescent="0.3">
      <c r="A9" t="str">
        <v>Anita Karki</v>
      </c>
      <c r="B9">
        <v>74</v>
      </c>
      <c r="C9" t="str">
        <v>B2</v>
      </c>
      <c r="D9">
        <v>9501</v>
      </c>
      <c r="E9" t="str">
        <v>D</v>
      </c>
      <c r="F9" t="str">
        <v>false</v>
      </c>
      <c r="G9" t="str">
        <v>true</v>
      </c>
      <c r="H9" t="str">
        <v>false</v>
      </c>
      <c r="I9" t="str">
        <v>false</v>
      </c>
      <c r="J9">
        <v>0</v>
      </c>
      <c r="K9" t="str">
        <v>true</v>
      </c>
      <c r="L9" t="str">
        <v>false</v>
      </c>
      <c r="M9" t="str">
        <v>false</v>
      </c>
      <c r="N9">
        <v>0</v>
      </c>
      <c r="O9">
        <v>0</v>
      </c>
      <c r="P9">
        <v>0</v>
      </c>
      <c r="Q9">
        <v>1</v>
      </c>
      <c r="R9" t="str">
        <v>false</v>
      </c>
      <c r="S9" t="str">
        <v>NA</v>
      </c>
      <c r="T9" t="str">
        <v>false</v>
      </c>
      <c r="U9" t="str">
        <v>false</v>
      </c>
      <c r="V9" t="str">
        <v>don't know what they were doing</v>
      </c>
      <c r="W9">
        <v>2</v>
      </c>
      <c r="Y9">
        <f>SUM($N$9:$P$9)</f>
        <v>0</v>
      </c>
      <c r="AB9">
        <f t="shared" si="0"/>
        <v>0</v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0D17-A22C-43C7-B8E7-9CE23A85660B}">
  <dimension ref="A1:AB20"/>
  <sheetViews>
    <sheetView topLeftCell="H1" workbookViewId="0">
      <selection activeCell="AB3" sqref="AB3:AB26"/>
    </sheetView>
  </sheetViews>
  <sheetFormatPr defaultRowHeight="14.4" x14ac:dyDescent="0.3"/>
  <sheetData>
    <row r="1" spans="1:28" x14ac:dyDescent="0.3">
      <c r="A1">
        <v>9534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Maud</v>
      </c>
      <c r="B3">
        <v>5</v>
      </c>
      <c r="C3" t="str">
        <v>B2</v>
      </c>
      <c r="D3">
        <v>9534</v>
      </c>
      <c r="E3" t="str">
        <v>O</v>
      </c>
      <c r="F3" t="str">
        <v>false</v>
      </c>
      <c r="G3" t="str">
        <v>false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</v>
      </c>
      <c r="R3" t="str">
        <v>false</v>
      </c>
      <c r="S3" t="str">
        <v>NA</v>
      </c>
      <c r="T3" t="str">
        <v>false</v>
      </c>
      <c r="U3" t="str">
        <v>false</v>
      </c>
      <c r="V3" t="str">
        <v>Stood still and intake did not work</v>
      </c>
      <c r="W3">
        <v>2</v>
      </c>
      <c r="Y3">
        <f>SUM($N$3:$P$3)</f>
        <v>0</v>
      </c>
      <c r="AB3">
        <f>IF(B3,SUM(N3:P3),"")</f>
        <v>0</v>
      </c>
    </row>
    <row r="4" spans="1:28" x14ac:dyDescent="0.3">
      <c r="A4" t="str">
        <v>AA</v>
      </c>
      <c r="B4">
        <v>25</v>
      </c>
      <c r="C4" t="str">
        <v>R2</v>
      </c>
      <c r="D4">
        <v>9534</v>
      </c>
      <c r="E4" t="str">
        <v>H</v>
      </c>
      <c r="F4" t="str">
        <v>false</v>
      </c>
      <c r="G4" t="str">
        <v>false</v>
      </c>
      <c r="H4" t="str">
        <v>false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true</v>
      </c>
      <c r="S4" t="str">
        <v>NA</v>
      </c>
      <c r="T4" t="str">
        <v>false</v>
      </c>
      <c r="U4" t="str">
        <v>false</v>
      </c>
      <c r="V4" t="str">
        <v>Bumper bot that only did defense once</v>
      </c>
      <c r="W4">
        <v>0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Anita Karki</v>
      </c>
      <c r="B5">
        <v>35</v>
      </c>
      <c r="C5" t="str">
        <v>B1</v>
      </c>
      <c r="D5">
        <v>9534</v>
      </c>
      <c r="E5" t="str">
        <v>H</v>
      </c>
      <c r="F5" t="str">
        <v>false</v>
      </c>
      <c r="G5" t="str">
        <v>false</v>
      </c>
      <c r="H5" t="str">
        <v>false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</v>
      </c>
      <c r="R5" t="str">
        <v>true</v>
      </c>
      <c r="S5" t="str">
        <v>NA</v>
      </c>
      <c r="T5" t="str">
        <v>true</v>
      </c>
      <c r="U5" t="str">
        <v>false</v>
      </c>
      <c r="V5" t="str">
        <v>deden goed defence toen vielen ze uit</v>
      </c>
      <c r="W5">
        <v>3</v>
      </c>
      <c r="Y5">
        <f>SUM($N$5:$P$5)</f>
        <v>0</v>
      </c>
      <c r="AB5">
        <f t="shared" si="0"/>
        <v>0</v>
      </c>
    </row>
    <row r="6" spans="1:28" x14ac:dyDescent="0.3">
      <c r="A6" t="str">
        <v>Yannis</v>
      </c>
      <c r="B6">
        <v>41</v>
      </c>
      <c r="C6" t="str">
        <v>B3</v>
      </c>
      <c r="D6">
        <v>9534</v>
      </c>
      <c r="E6" t="str">
        <v>O</v>
      </c>
      <c r="F6" t="str">
        <v>false</v>
      </c>
      <c r="G6" t="str">
        <v>false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true</v>
      </c>
      <c r="S6" t="str">
        <v>NA</v>
      </c>
      <c r="T6" t="str">
        <v>false</v>
      </c>
      <c r="U6" t="str">
        <v>false</v>
      </c>
      <c r="V6" t="str">
        <v>Robot seems like it's missing some parts, only defended.</v>
      </c>
      <c r="W6">
        <v>4</v>
      </c>
      <c r="Y6">
        <f>SUM($N$6:$P$6)</f>
        <v>0</v>
      </c>
      <c r="AB6">
        <f t="shared" si="0"/>
        <v>0</v>
      </c>
    </row>
    <row r="7" spans="1:28" x14ac:dyDescent="0.3">
      <c r="A7" t="str">
        <v>JV</v>
      </c>
      <c r="B7">
        <v>49</v>
      </c>
      <c r="C7" t="str">
        <v>R3</v>
      </c>
      <c r="D7">
        <v>9534</v>
      </c>
      <c r="E7" t="str">
        <v>H</v>
      </c>
      <c r="F7" t="str">
        <v>false</v>
      </c>
      <c r="G7" t="str">
        <v>false</v>
      </c>
      <c r="H7" t="str">
        <v>false</v>
      </c>
      <c r="I7" t="str">
        <v>false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>Focused on feeding balls to team</v>
      </c>
      <c r="W7">
        <v>3</v>
      </c>
      <c r="Y7">
        <f>SUM($N$7:$P$7)</f>
        <v>0</v>
      </c>
      <c r="AB7">
        <f t="shared" si="0"/>
        <v>0</v>
      </c>
    </row>
    <row r="8" spans="1:28" x14ac:dyDescent="0.3">
      <c r="A8" t="str">
        <v>JV</v>
      </c>
      <c r="B8">
        <v>75</v>
      </c>
      <c r="C8" t="str">
        <v>R3</v>
      </c>
      <c r="D8">
        <v>9534</v>
      </c>
      <c r="E8" t="str">
        <v>H</v>
      </c>
      <c r="F8" t="str">
        <v>false</v>
      </c>
      <c r="G8" t="str">
        <v>false</v>
      </c>
      <c r="H8" t="str">
        <v>false</v>
      </c>
      <c r="I8" t="str">
        <v>false</v>
      </c>
      <c r="J8" t="str">
        <v>NA</v>
      </c>
      <c r="K8" t="str">
        <v>false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100</v>
      </c>
      <c r="R8" t="str">
        <v>true</v>
      </c>
      <c r="S8" t="str">
        <v>NA</v>
      </c>
      <c r="T8" t="str">
        <v>false</v>
      </c>
      <c r="U8" t="str">
        <v>false</v>
      </c>
      <c r="V8" t="str">
        <v>Spent whole time guarding #1 player and did a great job at it.</v>
      </c>
      <c r="W8">
        <v>5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4D2E-A6EB-4E7E-9BA8-19A1A9EBA98A}">
  <dimension ref="A1:AB20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9610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">_xlfn._xlws.FILTER(Tabel1[], Tabel1[Team Number]=A1, "Geen resultaten")</f>
        <v>Geen resultaten</v>
      </c>
      <c r="Y3">
        <f>SUM($N$3:$P$3)</f>
        <v>0</v>
      </c>
      <c r="AB3" t="str">
        <f>IF(B3,SUM(N3:P3),"")</f>
        <v/>
      </c>
    </row>
    <row r="4" spans="1:28" x14ac:dyDescent="0.3">
      <c r="Y4">
        <f>SUM($N$4:$P$4)</f>
        <v>0</v>
      </c>
      <c r="AB4" t="str">
        <f t="shared" ref="AB4:AB20" si="0">IF(B4,SUM(N4:P4),"")</f>
        <v/>
      </c>
    </row>
    <row r="5" spans="1:28" x14ac:dyDescent="0.3">
      <c r="Y5">
        <f>SUM($N$5:$P$5)</f>
        <v>0</v>
      </c>
      <c r="AB5" t="str">
        <f t="shared" si="0"/>
        <v/>
      </c>
    </row>
    <row r="6" spans="1:28" x14ac:dyDescent="0.3">
      <c r="Y6">
        <f>SUM($N$6:$P$6)</f>
        <v>0</v>
      </c>
      <c r="AB6" t="str">
        <f t="shared" si="0"/>
        <v/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E01F-A1FF-49B0-A4B9-264F65E515EE}">
  <dimension ref="A1:AB20"/>
  <sheetViews>
    <sheetView topLeftCell="G1" workbookViewId="0">
      <selection activeCell="AB3" sqref="AB3:AB26"/>
    </sheetView>
  </sheetViews>
  <sheetFormatPr defaultRowHeight="14.4" x14ac:dyDescent="0.3"/>
  <sheetData>
    <row r="1" spans="1:28" x14ac:dyDescent="0.3">
      <c r="A1">
        <v>9704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LeoV</v>
      </c>
      <c r="B3">
        <v>11</v>
      </c>
      <c r="C3" t="str">
        <v>R3</v>
      </c>
      <c r="D3">
        <v>9704</v>
      </c>
      <c r="E3" t="str">
        <v>O</v>
      </c>
      <c r="F3" t="str">
        <v>false</v>
      </c>
      <c r="G3" t="str">
        <v>false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</v>
      </c>
      <c r="R3" t="str">
        <v>true</v>
      </c>
      <c r="S3" t="str">
        <v>NA</v>
      </c>
      <c r="T3" t="str">
        <v>false</v>
      </c>
      <c r="U3" t="str">
        <v>false</v>
      </c>
      <c r="V3" t="str">
        <v>Juat a little defence</v>
      </c>
      <c r="W3">
        <v>3</v>
      </c>
      <c r="Y3">
        <f>SUM($N$3:$P$3)</f>
        <v>0</v>
      </c>
      <c r="AB3">
        <f>IF(B3,SUM(N3:P3),"")</f>
        <v>0</v>
      </c>
    </row>
    <row r="4" spans="1:28" x14ac:dyDescent="0.3">
      <c r="A4" t="str">
        <v xml:space="preserve">LeoV </v>
      </c>
      <c r="B4">
        <v>27</v>
      </c>
      <c r="C4" t="str">
        <v>B1</v>
      </c>
      <c r="D4">
        <v>9704</v>
      </c>
      <c r="E4" t="str">
        <v>H</v>
      </c>
      <c r="F4" t="str">
        <v>true</v>
      </c>
      <c r="G4" t="str">
        <v>false</v>
      </c>
      <c r="H4" t="str">
        <v>false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6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TimoS</v>
      </c>
      <c r="B5">
        <v>37</v>
      </c>
      <c r="C5" t="str">
        <v>B2</v>
      </c>
      <c r="D5">
        <v>9704</v>
      </c>
      <c r="E5" t="str">
        <v>O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</v>
      </c>
      <c r="R5" t="str">
        <v>false</v>
      </c>
      <c r="S5" t="str">
        <v>NA</v>
      </c>
      <c r="T5" t="str">
        <v>false</v>
      </c>
      <c r="U5" t="str">
        <v>false</v>
      </c>
      <c r="V5" t="str">
        <v>Intake didnt deploy, didnt defend</v>
      </c>
      <c r="W5">
        <v>1</v>
      </c>
      <c r="Y5">
        <f>SUM($N$5:$P$5)</f>
        <v>0</v>
      </c>
      <c r="AB5">
        <f t="shared" si="0"/>
        <v>0</v>
      </c>
    </row>
    <row r="6" spans="1:28" x14ac:dyDescent="0.3">
      <c r="A6" t="str">
        <v>AA</v>
      </c>
      <c r="B6">
        <v>45</v>
      </c>
      <c r="C6" t="str">
        <v>R2</v>
      </c>
      <c r="D6">
        <v>9704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Didn»t do anything other than drive</v>
      </c>
      <c r="W6">
        <v>1</v>
      </c>
      <c r="Y6">
        <f>SUM($N$6:$P$6)</f>
        <v>0</v>
      </c>
      <c r="AB6">
        <f t="shared" si="0"/>
        <v>0</v>
      </c>
    </row>
    <row r="7" spans="1:28" x14ac:dyDescent="0.3">
      <c r="A7" t="str">
        <v>AA</v>
      </c>
      <c r="B7">
        <v>53</v>
      </c>
      <c r="C7" t="str">
        <v>R2</v>
      </c>
      <c r="D7">
        <v>9704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</v>
      </c>
      <c r="R7" t="str">
        <v>false</v>
      </c>
      <c r="S7" t="str">
        <v>NA</v>
      </c>
      <c r="T7" t="str">
        <v>true</v>
      </c>
      <c r="U7" t="str">
        <v>false</v>
      </c>
      <c r="V7" t="str">
        <v>Didn»t do much and stop midway</v>
      </c>
      <c r="W7">
        <v>1</v>
      </c>
      <c r="Y7">
        <f>SUM($N$7:$P$7)</f>
        <v>0</v>
      </c>
      <c r="AB7">
        <f t="shared" si="0"/>
        <v>0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6483-C4C7-419C-BF4D-B0AE8E11B024}">
  <dimension ref="A1:AB20"/>
  <sheetViews>
    <sheetView topLeftCell="G1" workbookViewId="0">
      <selection activeCell="AB3" sqref="AB3:AB26"/>
    </sheetView>
  </sheetViews>
  <sheetFormatPr defaultRowHeight="14.4" x14ac:dyDescent="0.3"/>
  <sheetData>
    <row r="1" spans="1:28" x14ac:dyDescent="0.3">
      <c r="A1">
        <v>9777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Joep</v>
      </c>
      <c r="B3">
        <v>7</v>
      </c>
      <c r="C3" t="str">
        <v>B2</v>
      </c>
      <c r="D3">
        <v>9777</v>
      </c>
      <c r="E3" t="str">
        <v>H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4</v>
      </c>
      <c r="O3">
        <v>0</v>
      </c>
      <c r="P3">
        <v>0</v>
      </c>
      <c r="Q3">
        <v>25</v>
      </c>
      <c r="R3" t="str">
        <v>true</v>
      </c>
      <c r="S3" t="str">
        <v>NA</v>
      </c>
      <c r="T3" t="str">
        <v>false</v>
      </c>
      <c r="U3" t="str">
        <v>false</v>
      </c>
      <c r="V3">
        <v>0</v>
      </c>
      <c r="W3">
        <v>3</v>
      </c>
      <c r="Y3">
        <f>SUM($N$3:$P$3)</f>
        <v>4</v>
      </c>
      <c r="AB3">
        <f>IF(B3,SUM(N3:P3),"")</f>
        <v>4</v>
      </c>
    </row>
    <row r="4" spans="1:28" x14ac:dyDescent="0.3">
      <c r="A4" t="str">
        <v>TimoS</v>
      </c>
      <c r="B4">
        <v>17</v>
      </c>
      <c r="C4" t="str">
        <v>B3</v>
      </c>
      <c r="D4">
        <v>9777</v>
      </c>
      <c r="E4" t="str">
        <v>H</v>
      </c>
      <c r="F4" t="str">
        <v>false</v>
      </c>
      <c r="G4" t="str">
        <v>true</v>
      </c>
      <c r="H4" t="str">
        <v>false</v>
      </c>
      <c r="I4" t="str">
        <v>true</v>
      </c>
      <c r="J4" t="str">
        <v>No attempt</v>
      </c>
      <c r="K4" t="str">
        <v>true</v>
      </c>
      <c r="L4" t="str">
        <v>false</v>
      </c>
      <c r="M4" t="str">
        <v>false</v>
      </c>
      <c r="N4">
        <v>7</v>
      </c>
      <c r="O4">
        <v>6</v>
      </c>
      <c r="P4">
        <v>5</v>
      </c>
      <c r="Q4">
        <v>19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3</v>
      </c>
      <c r="Y4">
        <f>SUM($N$4:$P$4)</f>
        <v>18</v>
      </c>
      <c r="AB4">
        <f t="shared" ref="AB4:AB20" si="0">IF(B4,SUM(N4:P4),"")</f>
        <v>18</v>
      </c>
    </row>
    <row r="5" spans="1:28" x14ac:dyDescent="0.3">
      <c r="A5" t="str">
        <v>AA</v>
      </c>
      <c r="B5">
        <v>24</v>
      </c>
      <c r="C5" t="str">
        <v>R2</v>
      </c>
      <c r="D5">
        <v>9777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 t="str">
        <v>Picked up and gave it to ally side</v>
      </c>
      <c r="W5">
        <v>0</v>
      </c>
      <c r="Y5">
        <f>SUM($N$5:$P$5)</f>
        <v>0</v>
      </c>
      <c r="AB5">
        <f t="shared" si="0"/>
        <v>0</v>
      </c>
    </row>
    <row r="6" spans="1:28" x14ac:dyDescent="0.3">
      <c r="A6" t="str">
        <v>AA</v>
      </c>
      <c r="B6">
        <v>44</v>
      </c>
      <c r="C6" t="str">
        <v>R2</v>
      </c>
      <c r="D6">
        <v>9777</v>
      </c>
      <c r="E6" t="str">
        <v>H</v>
      </c>
      <c r="F6" t="str">
        <v>false</v>
      </c>
      <c r="G6" t="str">
        <v>true</v>
      </c>
      <c r="H6" t="str">
        <v>false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3</v>
      </c>
      <c r="O6">
        <v>9</v>
      </c>
      <c r="P6">
        <v>15</v>
      </c>
      <c r="Q6">
        <v>15</v>
      </c>
      <c r="R6" t="str">
        <v>false</v>
      </c>
      <c r="S6" t="str">
        <v>NA</v>
      </c>
      <c r="T6" t="str">
        <v>false</v>
      </c>
      <c r="U6" t="str">
        <v>false</v>
      </c>
      <c r="V6" t="str">
        <v>Can drive good with speed just cant make shoots</v>
      </c>
      <c r="W6">
        <v>5</v>
      </c>
      <c r="Y6">
        <f>SUM($N$6:$P$6)</f>
        <v>27</v>
      </c>
      <c r="AB6">
        <f t="shared" si="0"/>
        <v>27</v>
      </c>
    </row>
    <row r="7" spans="1:28" x14ac:dyDescent="0.3">
      <c r="A7" t="str">
        <v>JV</v>
      </c>
      <c r="B7">
        <v>52</v>
      </c>
      <c r="C7" t="str">
        <v>R3</v>
      </c>
      <c r="D7">
        <v>9777</v>
      </c>
      <c r="E7" t="str">
        <v>H</v>
      </c>
      <c r="F7" t="str">
        <v>false</v>
      </c>
      <c r="G7" t="str">
        <v>true</v>
      </c>
      <c r="H7" t="str">
        <v>false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>Was trying to ball feed but got stuck most of the time.</v>
      </c>
      <c r="W7">
        <v>5</v>
      </c>
      <c r="Y7">
        <f>SUM($N$7:$P$7)</f>
        <v>0</v>
      </c>
      <c r="AB7">
        <f t="shared" si="0"/>
        <v>0</v>
      </c>
    </row>
    <row r="8" spans="1:28" x14ac:dyDescent="0.3">
      <c r="A8" t="str">
        <v>Anita Karki</v>
      </c>
      <c r="B8">
        <v>77</v>
      </c>
      <c r="C8" t="str">
        <v>R1</v>
      </c>
      <c r="D8">
        <v>9777</v>
      </c>
      <c r="E8" t="str">
        <v>O</v>
      </c>
      <c r="F8" t="str">
        <v>false</v>
      </c>
      <c r="G8" t="str">
        <v>false</v>
      </c>
      <c r="H8" t="str">
        <v>false</v>
      </c>
      <c r="I8" t="str">
        <v>false</v>
      </c>
      <c r="J8" t="str">
        <v>NA</v>
      </c>
      <c r="K8" t="str">
        <v>false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</v>
      </c>
      <c r="R8" t="str">
        <v>false</v>
      </c>
      <c r="S8" t="str">
        <v>NA</v>
      </c>
      <c r="T8" t="str">
        <v>false</v>
      </c>
      <c r="U8" t="str">
        <v>false</v>
      </c>
      <c r="V8" t="str">
        <v>not sure what they were doing</v>
      </c>
      <c r="W8">
        <v>2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2EB8-BE24-4C80-9992-0E61056C8F29}">
  <dimension ref="A1:AB20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10114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Nick</v>
      </c>
      <c r="B3">
        <v>1</v>
      </c>
      <c r="C3" t="str">
        <v>B3</v>
      </c>
      <c r="D3">
        <v>10114</v>
      </c>
      <c r="E3" t="str">
        <v>H</v>
      </c>
      <c r="F3" t="str">
        <v>false</v>
      </c>
      <c r="G3" t="str">
        <v>true</v>
      </c>
      <c r="H3" t="str">
        <v>true</v>
      </c>
      <c r="I3" t="str">
        <v>true</v>
      </c>
      <c r="J3" t="str">
        <v>L1</v>
      </c>
      <c r="K3" t="str">
        <v>true</v>
      </c>
      <c r="L3" t="str">
        <v>false</v>
      </c>
      <c r="M3" t="str">
        <v>false</v>
      </c>
      <c r="N3">
        <v>5</v>
      </c>
      <c r="O3">
        <v>0</v>
      </c>
      <c r="P3">
        <v>35</v>
      </c>
      <c r="Q3">
        <v>60</v>
      </c>
      <c r="R3" t="str">
        <v>false</v>
      </c>
      <c r="S3" t="str">
        <v>NA</v>
      </c>
      <c r="T3" t="str">
        <v>false</v>
      </c>
      <c r="U3" t="str">
        <v>false</v>
      </c>
      <c r="V3" t="str">
        <v>Fast, brings balls from Middle before picking up. Efficient for team</v>
      </c>
      <c r="W3">
        <v>4</v>
      </c>
      <c r="Y3">
        <f>SUM($N$3:$P$3)</f>
        <v>40</v>
      </c>
      <c r="AB3">
        <f>IF(B3,SUM(N3:P3),"")</f>
        <v>40</v>
      </c>
    </row>
    <row r="4" spans="1:28" x14ac:dyDescent="0.3">
      <c r="A4" t="str">
        <v>AA</v>
      </c>
      <c r="B4">
        <v>27</v>
      </c>
      <c r="C4" t="str">
        <v>R2</v>
      </c>
      <c r="D4">
        <v>10114</v>
      </c>
      <c r="E4" t="str">
        <v>H</v>
      </c>
      <c r="F4" t="str">
        <v>false</v>
      </c>
      <c r="G4" t="str">
        <v>true</v>
      </c>
      <c r="H4" t="str">
        <v>true</v>
      </c>
      <c r="I4" t="str">
        <v>false</v>
      </c>
      <c r="J4" t="str">
        <v>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true</v>
      </c>
      <c r="S4" t="str">
        <v>NA</v>
      </c>
      <c r="T4" t="str">
        <v>false</v>
      </c>
      <c r="U4" t="str">
        <v>false</v>
      </c>
      <c r="V4" t="str">
        <v>Only did support and defense, not being able to pick up. Decent to good at both</v>
      </c>
      <c r="W4">
        <v>4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Nick</v>
      </c>
      <c r="B5">
        <v>36</v>
      </c>
      <c r="C5" t="str">
        <v>B3</v>
      </c>
      <c r="D5">
        <v>10114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L1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</v>
      </c>
      <c r="R5" t="str">
        <v>false</v>
      </c>
      <c r="S5" t="str">
        <v>NA</v>
      </c>
      <c r="T5" t="str">
        <v>true</v>
      </c>
      <c r="U5" t="str">
        <v>false</v>
      </c>
      <c r="V5">
        <v>0</v>
      </c>
      <c r="W5">
        <v>2</v>
      </c>
      <c r="Y5">
        <f>SUM($N$5:$P$5)</f>
        <v>0</v>
      </c>
      <c r="AB5">
        <f t="shared" si="0"/>
        <v>0</v>
      </c>
    </row>
    <row r="6" spans="1:28" x14ac:dyDescent="0.3">
      <c r="A6" t="str">
        <v>GD</v>
      </c>
      <c r="B6">
        <v>45</v>
      </c>
      <c r="C6" t="str">
        <v>R1</v>
      </c>
      <c r="D6">
        <v>10114</v>
      </c>
      <c r="E6" t="str">
        <v>H</v>
      </c>
      <c r="F6" t="str">
        <v>false</v>
      </c>
      <c r="G6" t="str">
        <v>false</v>
      </c>
      <c r="H6" t="str">
        <v>false</v>
      </c>
      <c r="I6" t="str">
        <v>false</v>
      </c>
      <c r="J6" t="str">
        <v>No attempt</v>
      </c>
      <c r="K6" t="str">
        <v>false</v>
      </c>
      <c r="L6" t="str">
        <v>false</v>
      </c>
      <c r="M6" t="str">
        <v>false</v>
      </c>
      <c r="N6">
        <v>3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true</v>
      </c>
      <c r="U6" t="str">
        <v>false</v>
      </c>
      <c r="V6">
        <v>0</v>
      </c>
      <c r="W6">
        <v>4</v>
      </c>
      <c r="Y6">
        <f>SUM($N$6:$P$6)</f>
        <v>3</v>
      </c>
      <c r="AB6">
        <f t="shared" si="0"/>
        <v>3</v>
      </c>
    </row>
    <row r="7" spans="1:28" x14ac:dyDescent="0.3">
      <c r="A7" t="str">
        <v>Maud R</v>
      </c>
      <c r="B7">
        <v>52</v>
      </c>
      <c r="C7" t="str">
        <v>B3</v>
      </c>
      <c r="D7">
        <v>10114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L1</v>
      </c>
      <c r="K7" t="str">
        <v>true</v>
      </c>
      <c r="L7" t="str">
        <v>false</v>
      </c>
      <c r="M7" t="str">
        <v>false</v>
      </c>
      <c r="N7">
        <v>0</v>
      </c>
      <c r="O7">
        <v>0</v>
      </c>
      <c r="P7">
        <v>70</v>
      </c>
      <c r="Q7">
        <v>70</v>
      </c>
      <c r="R7" t="str">
        <v>false</v>
      </c>
      <c r="S7" t="str">
        <v>NA</v>
      </c>
      <c r="T7" t="str">
        <v>false</v>
      </c>
      <c r="U7" t="str">
        <v>false</v>
      </c>
      <c r="V7" t="str">
        <v>Small fuel tank</v>
      </c>
      <c r="W7">
        <v>3</v>
      </c>
      <c r="Y7">
        <f>SUM($N$7:$P$7)</f>
        <v>70</v>
      </c>
      <c r="AB7">
        <f t="shared" si="0"/>
        <v>70</v>
      </c>
    </row>
    <row r="8" spans="1:28" x14ac:dyDescent="0.3">
      <c r="A8" t="str">
        <v>AA</v>
      </c>
      <c r="B8">
        <v>58</v>
      </c>
      <c r="C8" t="str">
        <v>R2</v>
      </c>
      <c r="D8">
        <v>10114</v>
      </c>
      <c r="E8" t="str">
        <v>H</v>
      </c>
      <c r="F8" t="str">
        <v>false</v>
      </c>
      <c r="G8" t="str">
        <v>true</v>
      </c>
      <c r="H8" t="str">
        <v>true</v>
      </c>
      <c r="I8" t="str">
        <v>true</v>
      </c>
      <c r="J8" t="str">
        <v>L1</v>
      </c>
      <c r="K8" t="str">
        <v>true</v>
      </c>
      <c r="L8" t="str">
        <v>false</v>
      </c>
      <c r="M8" t="str">
        <v>false</v>
      </c>
      <c r="N8">
        <v>5</v>
      </c>
      <c r="O8">
        <v>18</v>
      </c>
      <c r="P8">
        <v>65</v>
      </c>
      <c r="Q8">
        <v>91</v>
      </c>
      <c r="R8" t="str">
        <v>false</v>
      </c>
      <c r="S8" t="str">
        <v>NA</v>
      </c>
      <c r="T8" t="str">
        <v>false</v>
      </c>
      <c r="U8" t="str">
        <v>false</v>
      </c>
      <c r="V8" t="str">
        <v>Great support for bots and humans, good scooper and speedy</v>
      </c>
      <c r="W8">
        <v>5</v>
      </c>
      <c r="Y8">
        <f>SUM($N$8:$P$8)</f>
        <v>88</v>
      </c>
      <c r="AB8">
        <f t="shared" si="0"/>
        <v>88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252F-59E6-49D7-A0CC-E0ED9E601E75}">
  <dimension ref="A1:AB20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10183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LeoV</v>
      </c>
      <c r="B3">
        <v>22</v>
      </c>
      <c r="C3" t="str">
        <v>B1</v>
      </c>
      <c r="D3">
        <v>10183</v>
      </c>
      <c r="E3" t="str">
        <v>O</v>
      </c>
      <c r="F3" t="str">
        <v>false</v>
      </c>
      <c r="G3" t="str">
        <v>true</v>
      </c>
      <c r="H3" t="str">
        <v>true</v>
      </c>
      <c r="I3" t="str">
        <v>false</v>
      </c>
      <c r="J3" t="str">
        <v>NA</v>
      </c>
      <c r="K3" t="str">
        <v>true</v>
      </c>
      <c r="L3" t="str">
        <v>false</v>
      </c>
      <c r="M3" t="str">
        <v>true</v>
      </c>
      <c r="N3">
        <v>0</v>
      </c>
      <c r="O3">
        <v>0</v>
      </c>
      <c r="P3">
        <v>60</v>
      </c>
      <c r="Q3">
        <v>83</v>
      </c>
      <c r="R3" t="str">
        <v>false</v>
      </c>
      <c r="S3" t="str">
        <v>NA</v>
      </c>
      <c r="T3" t="str">
        <v>false</v>
      </c>
      <c r="U3" t="str">
        <v>false</v>
      </c>
      <c r="V3" t="str">
        <v>Fast and accurate</v>
      </c>
      <c r="W3">
        <v>4</v>
      </c>
      <c r="Y3">
        <f>SUM($N$3:$P$3)</f>
        <v>60</v>
      </c>
      <c r="AB3">
        <f>IF(B3,SUM(N3:P3),"")</f>
        <v>60</v>
      </c>
    </row>
    <row r="4" spans="1:28" x14ac:dyDescent="0.3">
      <c r="A4" t="str">
        <v>AA</v>
      </c>
      <c r="B4">
        <v>32</v>
      </c>
      <c r="C4" t="str">
        <v>R2</v>
      </c>
      <c r="D4">
        <v>10183</v>
      </c>
      <c r="E4" t="str">
        <v>H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2</v>
      </c>
      <c r="O4">
        <v>12</v>
      </c>
      <c r="P4">
        <v>65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 t="str">
        <v xml:space="preserve">Little support and shot  hub was off but good aside from those </v>
      </c>
      <c r="W4">
        <v>4</v>
      </c>
      <c r="Y4">
        <f>SUM($N$4:$P$4)</f>
        <v>79</v>
      </c>
      <c r="AB4">
        <f t="shared" ref="AB4:AB20" si="0">IF(B4,SUM(N4:P4),"")</f>
        <v>79</v>
      </c>
    </row>
    <row r="5" spans="1:28" x14ac:dyDescent="0.3">
      <c r="A5" t="str">
        <v>Mil g</v>
      </c>
      <c r="B5">
        <v>43</v>
      </c>
      <c r="C5" t="str">
        <v>B2</v>
      </c>
      <c r="D5">
        <v>10183</v>
      </c>
      <c r="E5" t="str">
        <v>O</v>
      </c>
      <c r="F5" t="str">
        <v>false</v>
      </c>
      <c r="G5" t="str">
        <v>false</v>
      </c>
      <c r="H5" t="str">
        <v>true</v>
      </c>
      <c r="I5" t="str">
        <v>false</v>
      </c>
      <c r="J5" t="str">
        <v>NA</v>
      </c>
      <c r="K5" t="str">
        <v>true</v>
      </c>
      <c r="L5" t="str">
        <v>true</v>
      </c>
      <c r="M5" t="str">
        <v>true</v>
      </c>
      <c r="N5">
        <v>0</v>
      </c>
      <c r="O5">
        <v>0</v>
      </c>
      <c r="P5">
        <v>30</v>
      </c>
      <c r="Q5">
        <v>75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5</v>
      </c>
      <c r="Y5">
        <f>SUM($N$5:$P$5)</f>
        <v>30</v>
      </c>
      <c r="AB5">
        <f t="shared" si="0"/>
        <v>30</v>
      </c>
    </row>
    <row r="6" spans="1:28" x14ac:dyDescent="0.3">
      <c r="A6" t="str">
        <v>Jippe</v>
      </c>
      <c r="B6">
        <v>51</v>
      </c>
      <c r="C6" t="str">
        <v>R3</v>
      </c>
      <c r="D6">
        <v>10183</v>
      </c>
      <c r="E6" t="str">
        <v>O</v>
      </c>
      <c r="F6" t="str">
        <v>false</v>
      </c>
      <c r="G6" t="str">
        <v>true</v>
      </c>
      <c r="H6" t="str">
        <v>true</v>
      </c>
      <c r="I6" t="str">
        <v>true</v>
      </c>
      <c r="J6" t="str">
        <v>No attempt</v>
      </c>
      <c r="K6" t="str">
        <v>true</v>
      </c>
      <c r="L6" t="str">
        <v>false</v>
      </c>
      <c r="M6" t="str">
        <v>true</v>
      </c>
      <c r="N6">
        <v>0</v>
      </c>
      <c r="O6">
        <v>12</v>
      </c>
      <c r="P6">
        <v>65</v>
      </c>
      <c r="Q6">
        <v>78</v>
      </c>
      <c r="R6" t="str">
        <v>true</v>
      </c>
      <c r="S6" t="str">
        <v>NA</v>
      </c>
      <c r="T6" t="str">
        <v>false</v>
      </c>
      <c r="U6" t="str">
        <v>false</v>
      </c>
      <c r="V6">
        <v>0</v>
      </c>
      <c r="W6">
        <v>4</v>
      </c>
      <c r="Y6">
        <f>SUM($N$6:$P$6)</f>
        <v>77</v>
      </c>
      <c r="AB6">
        <f t="shared" si="0"/>
        <v>77</v>
      </c>
    </row>
    <row r="7" spans="1:28" x14ac:dyDescent="0.3">
      <c r="A7" t="str">
        <v>Jippe</v>
      </c>
      <c r="B7">
        <v>72</v>
      </c>
      <c r="C7" t="str">
        <v>B1</v>
      </c>
      <c r="D7">
        <v>10183</v>
      </c>
      <c r="E7" t="str">
        <v>O</v>
      </c>
      <c r="F7" t="str">
        <v>false</v>
      </c>
      <c r="G7" t="str">
        <v>true</v>
      </c>
      <c r="H7" t="str">
        <v>true</v>
      </c>
      <c r="I7" t="str">
        <v>false</v>
      </c>
      <c r="J7" t="str">
        <v>No attempt</v>
      </c>
      <c r="K7" t="str">
        <v>false</v>
      </c>
      <c r="L7" t="str">
        <v>false</v>
      </c>
      <c r="M7" t="str">
        <v>false</v>
      </c>
      <c r="N7">
        <v>2</v>
      </c>
      <c r="O7">
        <v>12</v>
      </c>
      <c r="P7">
        <v>70</v>
      </c>
      <c r="Q7">
        <v>74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5</v>
      </c>
      <c r="Y7">
        <f>SUM($N$7:$P$7)</f>
        <v>84</v>
      </c>
      <c r="AB7">
        <f t="shared" si="0"/>
        <v>84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E792-056F-42FC-92B4-24966C43D8A0}">
  <dimension ref="A1:AB20"/>
  <sheetViews>
    <sheetView topLeftCell="B1" zoomScale="79" workbookViewId="0">
      <selection activeCell="AB3" sqref="AB3:AB26"/>
    </sheetView>
  </sheetViews>
  <sheetFormatPr defaultRowHeight="14.4" x14ac:dyDescent="0.3"/>
  <cols>
    <col min="1" max="1" width="12.109375" bestFit="1" customWidth="1"/>
    <col min="2" max="2" width="20.33203125" customWidth="1"/>
    <col min="3" max="3" width="8.88671875" customWidth="1"/>
    <col min="4" max="4" width="0.21875" customWidth="1"/>
  </cols>
  <sheetData>
    <row r="1" spans="1:28" x14ac:dyDescent="0.3">
      <c r="A1">
        <v>10256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">_xlfn._xlws.FILTER(Tabel1[], Tabel1[Team Number]=A1, "Geen resultaten")</f>
        <v>Geen resultaten</v>
      </c>
      <c r="Y3">
        <f>SUM($N$3:$P$3)</f>
        <v>0</v>
      </c>
      <c r="AB3" t="str">
        <f>IF(B3,SUM(N3:P3),"")</f>
        <v/>
      </c>
    </row>
    <row r="4" spans="1:28" x14ac:dyDescent="0.3">
      <c r="Y4">
        <f>SUM($N$4:$P$4)</f>
        <v>0</v>
      </c>
      <c r="AB4" t="str">
        <f t="shared" ref="AB4:AB20" si="0">IF(B4,SUM(N4:P4),"")</f>
        <v/>
      </c>
    </row>
    <row r="5" spans="1:28" x14ac:dyDescent="0.3">
      <c r="Y5">
        <f>SUM($N$5:$P$5)</f>
        <v>0</v>
      </c>
      <c r="AB5" t="str">
        <f t="shared" si="0"/>
        <v/>
      </c>
    </row>
    <row r="6" spans="1:28" x14ac:dyDescent="0.3">
      <c r="Y6">
        <f>SUM($N$6:$P$6)</f>
        <v>0</v>
      </c>
      <c r="AB6" t="str">
        <f t="shared" si="0"/>
        <v/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F325-C61F-464B-B8D6-6276FBE9184E}">
  <dimension ref="A1:AB20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10380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Jippe</v>
      </c>
      <c r="B3">
        <v>26</v>
      </c>
      <c r="C3" t="str">
        <v>B3</v>
      </c>
      <c r="D3">
        <v>10380</v>
      </c>
      <c r="E3" t="str">
        <v>O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No attempt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30</v>
      </c>
      <c r="Q3">
        <v>51</v>
      </c>
      <c r="R3" t="str">
        <v>false</v>
      </c>
      <c r="S3" t="str">
        <v>NA</v>
      </c>
      <c r="T3" t="str">
        <v>false</v>
      </c>
      <c r="U3" t="str">
        <v>false</v>
      </c>
      <c r="V3" t="str">
        <v>Kinda died, had trouble moving</v>
      </c>
      <c r="W3">
        <v>4</v>
      </c>
      <c r="Y3">
        <f>SUM($N$3:$P$3)</f>
        <v>30</v>
      </c>
      <c r="AB3">
        <f>IF(B3,SUM(N3:P3),"")</f>
        <v>30</v>
      </c>
    </row>
    <row r="4" spans="1:28" x14ac:dyDescent="0.3">
      <c r="A4" t="str">
        <v>AA</v>
      </c>
      <c r="B4">
        <v>37</v>
      </c>
      <c r="C4" t="str">
        <v>R2</v>
      </c>
      <c r="D4">
        <v>10380</v>
      </c>
      <c r="E4" t="str">
        <v>H</v>
      </c>
      <c r="F4" t="str">
        <v>false</v>
      </c>
      <c r="G4" t="str">
        <v>true</v>
      </c>
      <c r="H4" t="str">
        <v>false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 t="str">
        <v>Had good support an could»ve done good just didn»t do much of anything</v>
      </c>
      <c r="W4">
        <v>2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JV</v>
      </c>
      <c r="B5">
        <v>45</v>
      </c>
      <c r="C5" t="str">
        <v>R3</v>
      </c>
      <c r="D5">
        <v>10380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L1</v>
      </c>
      <c r="K5" t="str">
        <v>true</v>
      </c>
      <c r="L5" t="str">
        <v>false</v>
      </c>
      <c r="M5" t="str">
        <v>false</v>
      </c>
      <c r="N5">
        <v>121</v>
      </c>
      <c r="O5">
        <v>0</v>
      </c>
      <c r="P5">
        <v>0</v>
      </c>
      <c r="Q5">
        <v>94</v>
      </c>
      <c r="R5" t="str">
        <v>false</v>
      </c>
      <c r="S5" t="str">
        <v>NA</v>
      </c>
      <c r="T5" t="str">
        <v>false</v>
      </c>
      <c r="U5" t="str">
        <v>false</v>
      </c>
      <c r="V5" t="str">
        <v xml:space="preserve">Absolute flawless offense </v>
      </c>
      <c r="W5">
        <v>5</v>
      </c>
      <c r="Y5">
        <f>SUM($N$5:$P$5)</f>
        <v>121</v>
      </c>
      <c r="AB5">
        <f t="shared" si="0"/>
        <v>121</v>
      </c>
    </row>
    <row r="6" spans="1:28" x14ac:dyDescent="0.3">
      <c r="A6" t="str">
        <v xml:space="preserve">LeoV </v>
      </c>
      <c r="B6">
        <v>53</v>
      </c>
      <c r="C6" t="str">
        <v>B2</v>
      </c>
      <c r="D6">
        <v>10380</v>
      </c>
      <c r="E6" t="str">
        <v>D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6</v>
      </c>
      <c r="P6">
        <v>5</v>
      </c>
      <c r="Q6">
        <v>21</v>
      </c>
      <c r="R6" t="str">
        <v>false</v>
      </c>
      <c r="S6" t="str">
        <v>NA</v>
      </c>
      <c r="T6" t="str">
        <v>false</v>
      </c>
      <c r="U6" t="str">
        <v>false</v>
      </c>
      <c r="V6" t="str">
        <v>Faulty shooter no active participation in the game</v>
      </c>
      <c r="W6">
        <v>2</v>
      </c>
      <c r="Y6">
        <f>SUM($N$6:$P$6)</f>
        <v>11</v>
      </c>
      <c r="AB6">
        <f t="shared" si="0"/>
        <v>11</v>
      </c>
    </row>
    <row r="7" spans="1:28" x14ac:dyDescent="0.3">
      <c r="A7" t="str">
        <v>BW</v>
      </c>
      <c r="B7">
        <v>74</v>
      </c>
      <c r="C7" t="str">
        <v>R1</v>
      </c>
      <c r="D7">
        <v>10380</v>
      </c>
      <c r="E7" t="str">
        <v>H</v>
      </c>
      <c r="F7" t="str">
        <v>false</v>
      </c>
      <c r="G7" t="str">
        <v>false</v>
      </c>
      <c r="H7" t="str">
        <v>false</v>
      </c>
      <c r="I7" t="str">
        <v>false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true</v>
      </c>
      <c r="U7" t="str">
        <v>false</v>
      </c>
      <c r="V7" t="str">
        <v>Broken hopper, did not shoot, barely gave fuel to human players.</v>
      </c>
      <c r="W7">
        <v>1</v>
      </c>
      <c r="Y7">
        <f>SUM($N$7:$P$7)</f>
        <v>0</v>
      </c>
      <c r="AB7">
        <f t="shared" si="0"/>
        <v>0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02EC-32E9-4247-BC21-5A7769C3BB1A}">
  <dimension ref="A1:AB20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10506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LeoV</v>
      </c>
      <c r="B3">
        <v>3</v>
      </c>
      <c r="C3" t="str">
        <v>B1</v>
      </c>
      <c r="D3">
        <v>10506</v>
      </c>
      <c r="E3" t="str">
        <v>H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</v>
      </c>
      <c r="R3" t="str">
        <v>false</v>
      </c>
      <c r="S3" t="str">
        <v>NA</v>
      </c>
      <c r="T3" t="str">
        <v>false</v>
      </c>
      <c r="U3" t="str">
        <v>false</v>
      </c>
      <c r="V3" t="str">
        <v>Only moved balls to the alliance zone. Intake broke down</v>
      </c>
      <c r="W3">
        <v>2</v>
      </c>
      <c r="Y3">
        <f>SUM($N$3:$P$3)</f>
        <v>0</v>
      </c>
      <c r="AB3">
        <f>IF(B3,SUM(N3:P3),"")</f>
        <v>0</v>
      </c>
    </row>
    <row r="4" spans="1:28" x14ac:dyDescent="0.3">
      <c r="A4" t="str">
        <v>Jippe</v>
      </c>
      <c r="B4">
        <v>29</v>
      </c>
      <c r="C4" t="str">
        <v>B3</v>
      </c>
      <c r="D4">
        <v>10506</v>
      </c>
      <c r="E4" t="str">
        <v>D</v>
      </c>
      <c r="F4" t="str">
        <v>false</v>
      </c>
      <c r="G4" t="str">
        <v>false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false</v>
      </c>
      <c r="S4" t="str">
        <v>NA</v>
      </c>
      <c r="T4" t="str">
        <v>true</v>
      </c>
      <c r="U4" t="str">
        <v>false</v>
      </c>
      <c r="V4">
        <v>0</v>
      </c>
      <c r="W4">
        <v>5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GD</v>
      </c>
      <c r="B5">
        <v>38</v>
      </c>
      <c r="C5" t="str">
        <v>R1</v>
      </c>
      <c r="D5">
        <v>10506</v>
      </c>
      <c r="E5" t="str">
        <v>D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No attempt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 t="str">
        <v>Very resourceful</v>
      </c>
      <c r="W5">
        <v>5</v>
      </c>
      <c r="Y5">
        <f>SUM($N$5:$P$5)</f>
        <v>0</v>
      </c>
      <c r="AB5">
        <f t="shared" si="0"/>
        <v>0</v>
      </c>
    </row>
    <row r="6" spans="1:28" x14ac:dyDescent="0.3">
      <c r="A6" t="str">
        <v>AP</v>
      </c>
      <c r="B6">
        <v>65</v>
      </c>
      <c r="C6" t="str">
        <v>B2</v>
      </c>
      <c r="D6">
        <v>10506</v>
      </c>
      <c r="E6" t="str">
        <v>D</v>
      </c>
      <c r="F6" t="str">
        <v>false</v>
      </c>
      <c r="G6" t="str">
        <v>false</v>
      </c>
      <c r="H6" t="str">
        <v>false</v>
      </c>
      <c r="I6" t="str">
        <v>false</v>
      </c>
      <c r="J6" t="str">
        <v>No attempt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Didn't shoot at all</v>
      </c>
      <c r="W6">
        <v>2</v>
      </c>
      <c r="Y6">
        <f>SUM($N$6:$P$6)</f>
        <v>0</v>
      </c>
      <c r="AB6">
        <f t="shared" si="0"/>
        <v>0</v>
      </c>
    </row>
    <row r="7" spans="1:28" x14ac:dyDescent="0.3">
      <c r="A7" t="str">
        <v>JV</v>
      </c>
      <c r="B7">
        <v>74</v>
      </c>
      <c r="C7" t="str">
        <v>R3</v>
      </c>
      <c r="D7">
        <v>10506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4</v>
      </c>
      <c r="O7">
        <v>0</v>
      </c>
      <c r="P7">
        <v>0</v>
      </c>
      <c r="Q7">
        <v>40</v>
      </c>
      <c r="R7" t="str">
        <v>false</v>
      </c>
      <c r="S7" t="str">
        <v>NA</v>
      </c>
      <c r="T7" t="str">
        <v>false</v>
      </c>
      <c r="U7" t="str">
        <v>false</v>
      </c>
      <c r="V7" t="str">
        <v>Just ball fed team but did crash into another member abit.</v>
      </c>
      <c r="W7">
        <v>4</v>
      </c>
      <c r="Y7">
        <f>SUM($N$7:$P$7)</f>
        <v>4</v>
      </c>
      <c r="AB7">
        <f t="shared" si="0"/>
        <v>4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2A68-AA93-4593-81D5-FC697C246356}">
  <dimension ref="A1:AB20"/>
  <sheetViews>
    <sheetView topLeftCell="H1" workbookViewId="0">
      <selection activeCell="AB3" sqref="AB3:AB26"/>
    </sheetView>
  </sheetViews>
  <sheetFormatPr defaultRowHeight="14.4" x14ac:dyDescent="0.3"/>
  <sheetData>
    <row r="1" spans="1:28" x14ac:dyDescent="0.3">
      <c r="A1">
        <v>10905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Nick</v>
      </c>
      <c r="B3">
        <v>11</v>
      </c>
      <c r="C3" t="str">
        <v>B3</v>
      </c>
      <c r="D3">
        <v>10905</v>
      </c>
      <c r="E3" t="str">
        <v>O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1</v>
      </c>
      <c r="O3">
        <v>0</v>
      </c>
      <c r="P3">
        <v>0</v>
      </c>
      <c r="Q3">
        <v>1</v>
      </c>
      <c r="R3" t="str">
        <v>false</v>
      </c>
      <c r="S3" t="str">
        <v>NA</v>
      </c>
      <c r="T3" t="str">
        <v>true</v>
      </c>
      <c r="U3" t="str">
        <v>false</v>
      </c>
      <c r="V3" t="str">
        <v xml:space="preserve">Died quick </v>
      </c>
      <c r="W3">
        <v>1</v>
      </c>
      <c r="Y3">
        <f>SUM($N$3:$P$3)</f>
        <v>1</v>
      </c>
      <c r="AB3">
        <f>IF(B3,SUM(N3:P3),"")</f>
        <v>1</v>
      </c>
    </row>
    <row r="4" spans="1:28" x14ac:dyDescent="0.3">
      <c r="A4" t="str">
        <v>Maud</v>
      </c>
      <c r="B4">
        <v>22</v>
      </c>
      <c r="C4" t="str">
        <v>B2</v>
      </c>
      <c r="D4">
        <v>10905</v>
      </c>
      <c r="E4" t="str">
        <v>D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true</v>
      </c>
      <c r="N4">
        <v>0</v>
      </c>
      <c r="O4">
        <v>0</v>
      </c>
      <c r="P4">
        <v>10</v>
      </c>
      <c r="Q4">
        <v>66</v>
      </c>
      <c r="R4" t="str">
        <v>false</v>
      </c>
      <c r="S4" t="str">
        <v>NA</v>
      </c>
      <c r="T4" t="str">
        <v>false</v>
      </c>
      <c r="U4" t="str">
        <v>false</v>
      </c>
      <c r="V4" t="str">
        <v xml:space="preserve">Shoot 10 balls stood still rest of the match </v>
      </c>
      <c r="W4">
        <v>3</v>
      </c>
      <c r="Y4">
        <f>SUM($N$4:$P$4)</f>
        <v>10</v>
      </c>
      <c r="AB4">
        <f t="shared" ref="AB4:AB20" si="0">IF(B4,SUM(N4:P4),"")</f>
        <v>10</v>
      </c>
    </row>
    <row r="5" spans="1:28" x14ac:dyDescent="0.3">
      <c r="A5" t="str">
        <v>GD</v>
      </c>
      <c r="B5">
        <v>33</v>
      </c>
      <c r="C5" t="str">
        <v>R1</v>
      </c>
      <c r="D5">
        <v>10905</v>
      </c>
      <c r="E5" t="str">
        <v>D</v>
      </c>
      <c r="F5" t="str">
        <v>false</v>
      </c>
      <c r="G5" t="str">
        <v>true</v>
      </c>
      <c r="H5" t="str">
        <v>false</v>
      </c>
      <c r="I5" t="str">
        <v>true</v>
      </c>
      <c r="J5" t="str">
        <v>NA</v>
      </c>
      <c r="K5" t="str">
        <v>false</v>
      </c>
      <c r="L5" t="str">
        <v>false</v>
      </c>
      <c r="M5" t="str">
        <v>false</v>
      </c>
      <c r="N5">
        <v>14</v>
      </c>
      <c r="O5">
        <v>0</v>
      </c>
      <c r="P5">
        <v>0</v>
      </c>
      <c r="Q5">
        <v>61</v>
      </c>
      <c r="R5" t="str">
        <v>false</v>
      </c>
      <c r="S5" t="str">
        <v>NA</v>
      </c>
      <c r="T5" t="str">
        <v>false</v>
      </c>
      <c r="U5" t="str">
        <v>false</v>
      </c>
      <c r="V5" t="str">
        <v>Good movment</v>
      </c>
      <c r="W5">
        <v>5</v>
      </c>
      <c r="Y5">
        <f>SUM($N$5:$P$5)</f>
        <v>14</v>
      </c>
      <c r="AB5">
        <f t="shared" si="0"/>
        <v>14</v>
      </c>
    </row>
    <row r="6" spans="1:28" x14ac:dyDescent="0.3">
      <c r="A6" t="str">
        <v>JV</v>
      </c>
      <c r="B6">
        <v>42</v>
      </c>
      <c r="C6" t="str">
        <v>R3</v>
      </c>
      <c r="D6">
        <v>10905</v>
      </c>
      <c r="E6" t="str">
        <v>H</v>
      </c>
      <c r="F6" t="str">
        <v>false</v>
      </c>
      <c r="G6" t="str">
        <v>false</v>
      </c>
      <c r="H6" t="str">
        <v>false</v>
      </c>
      <c r="I6" t="str">
        <v>false</v>
      </c>
      <c r="J6">
        <v>0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true</v>
      </c>
      <c r="S6" t="str">
        <v>NA</v>
      </c>
      <c r="T6" t="str">
        <v>false</v>
      </c>
      <c r="U6" t="str">
        <v>false</v>
      </c>
      <c r="V6" t="str">
        <v xml:space="preserve">Mostly did all non shooting sales of play and did a great at all of them </v>
      </c>
      <c r="W6">
        <v>5</v>
      </c>
      <c r="Y6">
        <f>SUM($N$6:$P$6)</f>
        <v>0</v>
      </c>
      <c r="AB6">
        <f t="shared" si="0"/>
        <v>0</v>
      </c>
    </row>
    <row r="7" spans="1:28" x14ac:dyDescent="0.3">
      <c r="A7" t="str">
        <v>AA</v>
      </c>
      <c r="B7">
        <v>50</v>
      </c>
      <c r="C7" t="str">
        <v>R2</v>
      </c>
      <c r="D7">
        <v>10905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 xml:space="preserve">No scoop, supported human which humans were good. No defense </v>
      </c>
      <c r="W7">
        <v>4</v>
      </c>
      <c r="Y7">
        <f>SUM($N$7:$P$7)</f>
        <v>0</v>
      </c>
      <c r="AB7">
        <f t="shared" si="0"/>
        <v>0</v>
      </c>
    </row>
    <row r="8" spans="1:28" x14ac:dyDescent="0.3">
      <c r="A8" t="str">
        <v>BW</v>
      </c>
      <c r="B8">
        <v>70</v>
      </c>
      <c r="C8" t="str">
        <v>R1</v>
      </c>
      <c r="D8">
        <v>10905</v>
      </c>
      <c r="E8" t="str">
        <v>D</v>
      </c>
      <c r="F8" t="str">
        <v>false</v>
      </c>
      <c r="G8" t="str">
        <v>false</v>
      </c>
      <c r="H8" t="str">
        <v>true</v>
      </c>
      <c r="I8" t="str">
        <v>false</v>
      </c>
      <c r="J8" t="str">
        <v>NA</v>
      </c>
      <c r="K8" t="str">
        <v>false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100</v>
      </c>
      <c r="R8" t="str">
        <v>true</v>
      </c>
      <c r="S8" t="str">
        <v>NA</v>
      </c>
      <c r="T8" t="str">
        <v>false</v>
      </c>
      <c r="U8" t="str">
        <v>false</v>
      </c>
      <c r="V8" t="str">
        <v>Supported by pushing fuel and defending.</v>
      </c>
      <c r="W8">
        <v>3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D97F-0E49-48F1-9C40-34EB771E473F}">
  <dimension ref="A1:AB20"/>
  <sheetViews>
    <sheetView topLeftCell="N1" workbookViewId="0">
      <selection activeCell="AB3" sqref="AB3:AB26"/>
    </sheetView>
  </sheetViews>
  <sheetFormatPr defaultRowHeight="14.4" x14ac:dyDescent="0.3"/>
  <sheetData>
    <row r="1" spans="1:28" x14ac:dyDescent="0.3">
      <c r="A1">
        <v>10933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Yannis</v>
      </c>
      <c r="B3">
        <v>23</v>
      </c>
      <c r="C3" t="str">
        <v>B3</v>
      </c>
      <c r="D3">
        <v>10933</v>
      </c>
      <c r="E3" t="str">
        <v>O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true</v>
      </c>
      <c r="S3" t="str">
        <v>NA</v>
      </c>
      <c r="T3" t="str">
        <v>true</v>
      </c>
      <c r="U3" t="str">
        <v>false</v>
      </c>
      <c r="V3" t="str">
        <v>No autonomous, didn't shoot, only defense, then died.</v>
      </c>
      <c r="W3">
        <v>3</v>
      </c>
      <c r="Y3">
        <f>SUM($N$3:$P$3)</f>
        <v>0</v>
      </c>
      <c r="AB3">
        <f>IF(B3,SUM(N3:P3),"")</f>
        <v>0</v>
      </c>
    </row>
    <row r="4" spans="1:28" x14ac:dyDescent="0.3">
      <c r="A4" t="str">
        <v>Anita Karki</v>
      </c>
      <c r="B4">
        <v>37</v>
      </c>
      <c r="C4" t="str">
        <v>B1</v>
      </c>
      <c r="D4">
        <v>10933</v>
      </c>
      <c r="E4" t="str">
        <v>D</v>
      </c>
      <c r="F4" t="str">
        <v>false</v>
      </c>
      <c r="G4" t="str">
        <v>true</v>
      </c>
      <c r="H4" t="str">
        <v>true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 t="str">
        <v>1 swerve module not working</v>
      </c>
      <c r="W4">
        <v>4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AA</v>
      </c>
      <c r="B5">
        <v>55</v>
      </c>
      <c r="C5" t="str">
        <v>R2</v>
      </c>
      <c r="D5">
        <v>10933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8</v>
      </c>
      <c r="O5">
        <v>6</v>
      </c>
      <c r="P5">
        <v>55</v>
      </c>
      <c r="Q5">
        <v>88</v>
      </c>
      <c r="R5" t="str">
        <v>false</v>
      </c>
      <c r="S5" t="str">
        <v>NA</v>
      </c>
      <c r="T5" t="str">
        <v>false</v>
      </c>
      <c r="U5" t="str">
        <v>false</v>
      </c>
      <c r="V5" t="str">
        <v xml:space="preserve">Good speed and all around good, no defense nor support </v>
      </c>
      <c r="W5">
        <v>5</v>
      </c>
      <c r="Y5">
        <f>SUM($N$5:$P$5)</f>
        <v>69</v>
      </c>
      <c r="AB5">
        <f t="shared" si="0"/>
        <v>69</v>
      </c>
    </row>
    <row r="6" spans="1:28" x14ac:dyDescent="0.3">
      <c r="A6" t="str">
        <v>AA</v>
      </c>
      <c r="B6">
        <v>65</v>
      </c>
      <c r="C6" t="str">
        <v>R2</v>
      </c>
      <c r="D6">
        <v>10933</v>
      </c>
      <c r="E6" t="str">
        <v>H</v>
      </c>
      <c r="F6" t="str">
        <v>false</v>
      </c>
      <c r="G6" t="str">
        <v>false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true</v>
      </c>
      <c r="S6" t="str">
        <v>NA</v>
      </c>
      <c r="T6" t="str">
        <v>true</v>
      </c>
      <c r="U6" t="str">
        <v>false</v>
      </c>
      <c r="V6" t="str">
        <v>Bumper bot, great defense in which they did majority of time. Good support. Was still close to the start of the end</v>
      </c>
      <c r="W6">
        <v>5</v>
      </c>
      <c r="Y6">
        <f>SUM($N$6:$P$6)</f>
        <v>0</v>
      </c>
      <c r="AB6">
        <f t="shared" si="0"/>
        <v>0</v>
      </c>
    </row>
    <row r="7" spans="1:28" x14ac:dyDescent="0.3">
      <c r="A7" t="str">
        <v>JV</v>
      </c>
      <c r="B7">
        <v>72</v>
      </c>
      <c r="C7" t="str">
        <v>R3</v>
      </c>
      <c r="D7">
        <v>10933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true</v>
      </c>
      <c r="S7" t="str">
        <v>NA</v>
      </c>
      <c r="T7" t="str">
        <v>false</v>
      </c>
      <c r="U7" t="str">
        <v>false</v>
      </c>
      <c r="V7" t="str">
        <v>Played a bit of defense but didn't do anything else.</v>
      </c>
      <c r="W7">
        <v>3</v>
      </c>
      <c r="Y7">
        <f>SUM($N$7:$P$7)</f>
        <v>0</v>
      </c>
      <c r="AB7">
        <f t="shared" si="0"/>
        <v>0</v>
      </c>
    </row>
    <row r="8" spans="1:28" x14ac:dyDescent="0.3">
      <c r="A8" t="str">
        <v>Nick</v>
      </c>
      <c r="B8">
        <v>78</v>
      </c>
      <c r="C8" t="str">
        <v>B3</v>
      </c>
      <c r="D8">
        <v>10933</v>
      </c>
      <c r="E8" t="str">
        <v>O</v>
      </c>
      <c r="F8" t="str">
        <v>false</v>
      </c>
      <c r="G8" t="str">
        <v>true</v>
      </c>
      <c r="H8" t="str">
        <v>false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100</v>
      </c>
      <c r="R8" t="str">
        <v>true</v>
      </c>
      <c r="S8" t="str">
        <v>NA</v>
      </c>
      <c r="T8" t="str">
        <v>false</v>
      </c>
      <c r="U8" t="str">
        <v>false</v>
      </c>
      <c r="V8" t="str">
        <v>Only played defence, came back a few times</v>
      </c>
      <c r="W8">
        <v>4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C80A-D0B3-460C-9FFC-D5A28B5B8D5D}">
  <dimension ref="A1:AB20"/>
  <sheetViews>
    <sheetView topLeftCell="H1" workbookViewId="0">
      <selection activeCell="AB3" sqref="AB3:AB26"/>
    </sheetView>
  </sheetViews>
  <sheetFormatPr defaultRowHeight="14.4" x14ac:dyDescent="0.3"/>
  <sheetData>
    <row r="1" spans="1:28" x14ac:dyDescent="0.3">
      <c r="A1">
        <v>10980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Nick</v>
      </c>
      <c r="B3">
        <v>6</v>
      </c>
      <c r="C3" t="str">
        <v>R2</v>
      </c>
      <c r="D3">
        <v>10980</v>
      </c>
      <c r="E3" t="str">
        <v>O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2</v>
      </c>
      <c r="O3">
        <v>6</v>
      </c>
      <c r="P3">
        <v>90</v>
      </c>
      <c r="Q3">
        <v>59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2</v>
      </c>
      <c r="Y3">
        <f>SUM($N$3:$P$3)</f>
        <v>98</v>
      </c>
      <c r="AB3">
        <f>IF(B3,SUM(N3:P3),"")</f>
        <v>98</v>
      </c>
    </row>
    <row r="4" spans="1:28" x14ac:dyDescent="0.3">
      <c r="A4" t="str">
        <v>Mil g</v>
      </c>
      <c r="B4">
        <v>17</v>
      </c>
      <c r="C4" t="str">
        <v>B1</v>
      </c>
      <c r="D4">
        <v>10980</v>
      </c>
      <c r="E4" t="str">
        <v>D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40</v>
      </c>
      <c r="Q4">
        <v>87</v>
      </c>
      <c r="R4" t="str">
        <v>false</v>
      </c>
      <c r="S4" t="str">
        <v>NA</v>
      </c>
      <c r="T4" t="str">
        <v>false</v>
      </c>
      <c r="U4" t="str">
        <v>false</v>
      </c>
      <c r="V4" t="str">
        <v>Got stuck on ramp but recovered</v>
      </c>
      <c r="W4">
        <v>4</v>
      </c>
      <c r="Y4">
        <f>SUM($N$4:$P$4)</f>
        <v>40</v>
      </c>
      <c r="AB4">
        <f t="shared" ref="AB4:AB20" si="0">IF(B4,SUM(N4:P4),"")</f>
        <v>40</v>
      </c>
    </row>
    <row r="5" spans="1:28" x14ac:dyDescent="0.3">
      <c r="A5" t="str">
        <v>JV</v>
      </c>
      <c r="B5">
        <v>27</v>
      </c>
      <c r="C5" t="str">
        <v>R3</v>
      </c>
      <c r="D5">
        <v>10980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false</v>
      </c>
      <c r="L5" t="str">
        <v>false</v>
      </c>
      <c r="M5" t="str">
        <v>false</v>
      </c>
      <c r="N5">
        <v>3</v>
      </c>
      <c r="O5">
        <v>0</v>
      </c>
      <c r="P5">
        <v>0</v>
      </c>
      <c r="Q5">
        <v>8</v>
      </c>
      <c r="R5" t="str">
        <v>false</v>
      </c>
      <c r="S5" t="str">
        <v>NA</v>
      </c>
      <c r="T5" t="str">
        <v>false</v>
      </c>
      <c r="U5" t="str">
        <v>false</v>
      </c>
      <c r="V5" t="str">
        <v>Missed everything</v>
      </c>
      <c r="W5">
        <v>1</v>
      </c>
      <c r="Y5">
        <f>SUM($N$5:$P$5)</f>
        <v>3</v>
      </c>
      <c r="AB5">
        <f t="shared" si="0"/>
        <v>3</v>
      </c>
    </row>
    <row r="6" spans="1:28" x14ac:dyDescent="0.3">
      <c r="A6" t="str">
        <v>;Nick</v>
      </c>
      <c r="B6">
        <v>33</v>
      </c>
      <c r="C6" t="str">
        <v>B3</v>
      </c>
      <c r="D6">
        <v>10980</v>
      </c>
      <c r="E6" t="str">
        <v>O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1</v>
      </c>
      <c r="O6">
        <v>3</v>
      </c>
      <c r="P6">
        <v>65</v>
      </c>
      <c r="Q6">
        <v>39</v>
      </c>
      <c r="R6" t="str">
        <v>false</v>
      </c>
      <c r="S6" t="str">
        <v>NA</v>
      </c>
      <c r="T6" t="str">
        <v>false</v>
      </c>
      <c r="U6" t="str">
        <v>false</v>
      </c>
      <c r="V6" t="str">
        <v>Stoppen for a short while in the Middle of the game</v>
      </c>
      <c r="W6">
        <v>3</v>
      </c>
      <c r="Y6">
        <f>SUM($N$6:$P$6)</f>
        <v>69</v>
      </c>
      <c r="AB6">
        <f t="shared" si="0"/>
        <v>69</v>
      </c>
    </row>
    <row r="7" spans="1:28" x14ac:dyDescent="0.3">
      <c r="A7" t="str">
        <v>AA</v>
      </c>
      <c r="B7">
        <v>41</v>
      </c>
      <c r="C7" t="str">
        <v>R2</v>
      </c>
      <c r="D7">
        <v>10980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0</v>
      </c>
      <c r="P7">
        <v>75</v>
      </c>
      <c r="Q7">
        <v>93</v>
      </c>
      <c r="R7" t="str">
        <v>false</v>
      </c>
      <c r="S7" t="str">
        <v>NA</v>
      </c>
      <c r="T7" t="str">
        <v>false</v>
      </c>
      <c r="U7" t="str">
        <v>false</v>
      </c>
      <c r="V7" t="str">
        <v>Was pretty good and collect and scoring but not not much else</v>
      </c>
      <c r="W7">
        <v>4</v>
      </c>
      <c r="Y7">
        <f>SUM($N$7:$P$7)</f>
        <v>75</v>
      </c>
      <c r="AB7">
        <f t="shared" si="0"/>
        <v>75</v>
      </c>
    </row>
    <row r="8" spans="1:28" x14ac:dyDescent="0.3">
      <c r="A8" t="str">
        <v>TimoS</v>
      </c>
      <c r="B8">
        <v>64</v>
      </c>
      <c r="C8" t="str">
        <v>B2</v>
      </c>
      <c r="D8">
        <v>10980</v>
      </c>
      <c r="E8" t="str">
        <v>D</v>
      </c>
      <c r="F8" t="str">
        <v>false</v>
      </c>
      <c r="G8" t="str">
        <v>true</v>
      </c>
      <c r="H8" t="str">
        <v>false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0</v>
      </c>
      <c r="O8">
        <v>0</v>
      </c>
      <c r="P8">
        <v>50</v>
      </c>
      <c r="Q8">
        <v>59</v>
      </c>
      <c r="R8" t="str">
        <v>false</v>
      </c>
      <c r="S8" t="str">
        <v>NA</v>
      </c>
      <c r="T8" t="str">
        <v>false</v>
      </c>
      <c r="U8" t="str">
        <v>false</v>
      </c>
      <c r="V8" t="str">
        <v>Intake broke off</v>
      </c>
      <c r="W8">
        <v>4</v>
      </c>
      <c r="Y8">
        <f>SUM($N$8:$P$8)</f>
        <v>50</v>
      </c>
      <c r="AB8">
        <f t="shared" si="0"/>
        <v>50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B0D0-A046-4DF6-9723-006F1CDDDB0C}">
  <dimension ref="A1:AB20"/>
  <sheetViews>
    <sheetView topLeftCell="H1" workbookViewId="0">
      <selection activeCell="AB3" sqref="AB3:AB26"/>
    </sheetView>
  </sheetViews>
  <sheetFormatPr defaultRowHeight="14.4" x14ac:dyDescent="0.3"/>
  <sheetData>
    <row r="1" spans="1:28" x14ac:dyDescent="0.3">
      <c r="A1">
        <v>10988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6">_xlfn._xlws.FILTER(Tabel1[], Tabel1[Team Number]=A1, "Geen resutaten")</f>
        <v xml:space="preserve">  Joep</v>
      </c>
      <c r="B3">
        <v>24</v>
      </c>
      <c r="C3" t="str">
        <v>B2</v>
      </c>
      <c r="D3">
        <v>10988</v>
      </c>
      <c r="E3" t="str">
        <v>O</v>
      </c>
      <c r="F3" t="str">
        <v>false</v>
      </c>
      <c r="G3" t="str">
        <v>true</v>
      </c>
      <c r="H3" t="str">
        <v>false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3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true</v>
      </c>
      <c r="U3" t="str">
        <v>false</v>
      </c>
      <c r="V3" t="str">
        <v>Stuck on bumper</v>
      </c>
      <c r="W3">
        <v>3</v>
      </c>
      <c r="Y3">
        <f>SUM($N$3:$P$3)</f>
        <v>3</v>
      </c>
      <c r="AB3">
        <f>IF(B3,SUM(N3:P3),"")</f>
        <v>3</v>
      </c>
    </row>
    <row r="4" spans="1:28" x14ac:dyDescent="0.3">
      <c r="A4" t="str">
        <v>AA</v>
      </c>
      <c r="B4">
        <v>51</v>
      </c>
      <c r="C4" t="str">
        <v>R2</v>
      </c>
      <c r="D4">
        <v>10988</v>
      </c>
      <c r="E4" t="str">
        <v>H</v>
      </c>
      <c r="F4" t="str">
        <v>false</v>
      </c>
      <c r="G4" t="str">
        <v>true</v>
      </c>
      <c r="H4" t="str">
        <v>false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5</v>
      </c>
      <c r="Q4">
        <v>1</v>
      </c>
      <c r="R4" t="str">
        <v>false</v>
      </c>
      <c r="S4" t="str">
        <v>NA</v>
      </c>
      <c r="T4" t="str">
        <v>false</v>
      </c>
      <c r="U4" t="str">
        <v>true</v>
      </c>
      <c r="V4" t="str">
        <v>Was speedy with good mechanics so could»ve done good if it hadn»t gotten stuck</v>
      </c>
      <c r="W4">
        <v>4</v>
      </c>
      <c r="Y4">
        <f>SUM($N$4:$P$4)</f>
        <v>5</v>
      </c>
      <c r="AB4">
        <f t="shared" ref="AB4:AB20" si="0">IF(B4,SUM(N4:P4),"")</f>
        <v>5</v>
      </c>
    </row>
    <row r="5" spans="1:28" x14ac:dyDescent="0.3">
      <c r="A5" t="str">
        <v>BW</v>
      </c>
      <c r="B5">
        <v>66</v>
      </c>
      <c r="C5" t="str">
        <v>R1</v>
      </c>
      <c r="D5">
        <v>10988</v>
      </c>
      <c r="E5" t="str">
        <v>O</v>
      </c>
      <c r="F5" t="str">
        <v>false</v>
      </c>
      <c r="G5" t="str">
        <v>true</v>
      </c>
      <c r="H5" t="str">
        <v>false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6</v>
      </c>
      <c r="O5">
        <v>0</v>
      </c>
      <c r="P5">
        <v>0</v>
      </c>
      <c r="Q5">
        <v>60</v>
      </c>
      <c r="R5" t="str">
        <v>true</v>
      </c>
      <c r="S5" t="str">
        <v>NA</v>
      </c>
      <c r="T5" t="str">
        <v>false</v>
      </c>
      <c r="U5" t="str">
        <v>false</v>
      </c>
      <c r="V5">
        <v>0</v>
      </c>
      <c r="W5">
        <v>2</v>
      </c>
      <c r="Y5">
        <f>SUM($N$5:$P$5)</f>
        <v>6</v>
      </c>
      <c r="AB5">
        <f t="shared" si="0"/>
        <v>6</v>
      </c>
    </row>
    <row r="6" spans="1:28" x14ac:dyDescent="0.3">
      <c r="A6" t="str">
        <v>AA</v>
      </c>
      <c r="B6">
        <v>76</v>
      </c>
      <c r="C6" t="str">
        <v>R2</v>
      </c>
      <c r="D6">
        <v>10988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2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Didn»t do much but did some good support</v>
      </c>
      <c r="W6">
        <v>2</v>
      </c>
      <c r="Y6">
        <f>SUM($N$6:$P$6)</f>
        <v>2</v>
      </c>
      <c r="AB6">
        <f t="shared" si="0"/>
        <v>2</v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1299-7FC3-47FB-9694-748FEA542474}">
  <dimension ref="A1:AB20"/>
  <sheetViews>
    <sheetView topLeftCell="G1" workbookViewId="0">
      <selection activeCell="AB3" sqref="AB3:AB26"/>
    </sheetView>
  </sheetViews>
  <sheetFormatPr defaultRowHeight="14.4" x14ac:dyDescent="0.3"/>
  <sheetData>
    <row r="1" spans="1:28" x14ac:dyDescent="0.3">
      <c r="A1">
        <v>11100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6">_xlfn._xlws.FILTER(Tabel1[], Tabel1[Team Number]=A1, "Geen resultaten")</f>
        <v>Mil g</v>
      </c>
      <c r="B3">
        <v>6</v>
      </c>
      <c r="C3" t="str">
        <v>B3</v>
      </c>
      <c r="D3">
        <v>11100</v>
      </c>
      <c r="E3" t="str">
        <v>D</v>
      </c>
      <c r="F3" t="str">
        <v>false</v>
      </c>
      <c r="G3" t="str">
        <v>true</v>
      </c>
      <c r="H3" t="str">
        <v>true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false</v>
      </c>
      <c r="U3" t="str">
        <v>false</v>
      </c>
      <c r="V3" t="str">
        <v>Had camera issues, turret aimed opposite side of hub, even after rotating the robot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 xml:space="preserve">LeoV </v>
      </c>
      <c r="B4">
        <v>28</v>
      </c>
      <c r="C4" t="str">
        <v>B1</v>
      </c>
      <c r="D4">
        <v>11100</v>
      </c>
      <c r="E4" t="str">
        <v>O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false</v>
      </c>
      <c r="L4" t="str">
        <v>true</v>
      </c>
      <c r="M4" t="str">
        <v>false</v>
      </c>
      <c r="N4">
        <v>0</v>
      </c>
      <c r="O4">
        <v>0</v>
      </c>
      <c r="P4">
        <v>0</v>
      </c>
      <c r="Q4">
        <v>1</v>
      </c>
      <c r="R4" t="str">
        <v>false</v>
      </c>
      <c r="S4" t="str">
        <v>NA</v>
      </c>
      <c r="T4" t="str">
        <v>false</v>
      </c>
      <c r="U4" t="str">
        <v>false</v>
      </c>
      <c r="V4" t="str">
        <v>Was misalligned turret slow moving</v>
      </c>
      <c r="W4">
        <v>2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Mil g</v>
      </c>
      <c r="B5">
        <v>34</v>
      </c>
      <c r="C5" t="str">
        <v>B2</v>
      </c>
      <c r="D5">
        <v>11100</v>
      </c>
      <c r="E5" t="str">
        <v>O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true</v>
      </c>
      <c r="M5" t="str">
        <v>false</v>
      </c>
      <c r="N5">
        <v>0</v>
      </c>
      <c r="O5">
        <v>0</v>
      </c>
      <c r="P5">
        <v>20</v>
      </c>
      <c r="Q5">
        <v>12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3</v>
      </c>
      <c r="Y5">
        <f>SUM($N$5:$P$5)</f>
        <v>20</v>
      </c>
      <c r="AB5">
        <f t="shared" si="0"/>
        <v>20</v>
      </c>
    </row>
    <row r="6" spans="1:28" x14ac:dyDescent="0.3">
      <c r="A6" t="str">
        <v>JV</v>
      </c>
      <c r="B6">
        <v>67</v>
      </c>
      <c r="C6" t="str">
        <v>R3</v>
      </c>
      <c r="D6">
        <v>11100</v>
      </c>
      <c r="E6" t="str">
        <v>H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true</v>
      </c>
      <c r="M6" t="str">
        <v>false</v>
      </c>
      <c r="N6">
        <v>31</v>
      </c>
      <c r="O6">
        <v>0</v>
      </c>
      <c r="P6">
        <v>0</v>
      </c>
      <c r="Q6">
        <v>82</v>
      </c>
      <c r="R6" t="str">
        <v>false</v>
      </c>
      <c r="S6" t="str">
        <v>NA</v>
      </c>
      <c r="T6" t="str">
        <v>false</v>
      </c>
      <c r="U6" t="str">
        <v>false</v>
      </c>
      <c r="V6" t="str">
        <v>Just focused on basic offense.</v>
      </c>
      <c r="W6">
        <v>4</v>
      </c>
      <c r="Y6">
        <f>SUM($N$6:$P$6)</f>
        <v>31</v>
      </c>
      <c r="AB6">
        <f t="shared" si="0"/>
        <v>31</v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2593-9770-454B-98B7-D9CC4A3C5765}">
  <dimension ref="A1:AB20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11176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Jippe</v>
      </c>
      <c r="B3">
        <v>6</v>
      </c>
      <c r="C3" t="str">
        <v>B1</v>
      </c>
      <c r="D3">
        <v>11176</v>
      </c>
      <c r="E3" t="str">
        <v>O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true</v>
      </c>
      <c r="U3" t="str">
        <v>false</v>
      </c>
      <c r="V3" t="str">
        <v xml:space="preserve">Not moving when enabled 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>Anita karki</v>
      </c>
      <c r="B4">
        <v>12</v>
      </c>
      <c r="C4" t="str">
        <v>B3</v>
      </c>
      <c r="D4">
        <v>11176</v>
      </c>
      <c r="E4" t="str">
        <v>D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1</v>
      </c>
      <c r="O4">
        <v>3</v>
      </c>
      <c r="P4">
        <v>0</v>
      </c>
      <c r="Q4">
        <v>1</v>
      </c>
      <c r="R4" t="str">
        <v>false</v>
      </c>
      <c r="S4" t="str">
        <v>No Attempt</v>
      </c>
      <c r="T4" t="str">
        <v>false</v>
      </c>
      <c r="U4" t="str">
        <v>false</v>
      </c>
      <c r="V4" t="str">
        <v>not good fueltank, pushing to outpost</v>
      </c>
      <c r="W4">
        <v>2</v>
      </c>
      <c r="Y4">
        <f>SUM($N$4:$P$4)</f>
        <v>4</v>
      </c>
      <c r="AB4">
        <f t="shared" ref="AB4:AB20" si="0">IF(B4,SUM(N4:P4),"")</f>
        <v>4</v>
      </c>
    </row>
    <row r="5" spans="1:28" x14ac:dyDescent="0.3">
      <c r="A5" t="str">
        <v>AA</v>
      </c>
      <c r="B5">
        <v>22</v>
      </c>
      <c r="C5" t="str">
        <v>R2</v>
      </c>
      <c r="D5">
        <v>11176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3</v>
      </c>
      <c r="O5">
        <v>9</v>
      </c>
      <c r="P5">
        <v>0</v>
      </c>
      <c r="Q5">
        <v>59</v>
      </c>
      <c r="R5" t="str">
        <v>false</v>
      </c>
      <c r="S5" t="str">
        <v>NA</v>
      </c>
      <c r="T5" t="str">
        <v>false</v>
      </c>
      <c r="U5" t="str">
        <v>false</v>
      </c>
      <c r="V5" t="str">
        <v>Slower all around, inactive at start of teleop</v>
      </c>
      <c r="W5">
        <v>5</v>
      </c>
      <c r="Y5">
        <f>SUM($N$5:$P$5)</f>
        <v>12</v>
      </c>
      <c r="AB5">
        <f t="shared" si="0"/>
        <v>12</v>
      </c>
    </row>
    <row r="6" spans="1:28" x14ac:dyDescent="0.3">
      <c r="A6" t="str">
        <v xml:space="preserve">LeoV </v>
      </c>
      <c r="B6">
        <v>29</v>
      </c>
      <c r="C6" t="str">
        <v>R1</v>
      </c>
      <c r="D6">
        <v>11176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12</v>
      </c>
      <c r="R6" t="str">
        <v>false</v>
      </c>
      <c r="S6" t="str">
        <v>NA</v>
      </c>
      <c r="T6" t="str">
        <v>false</v>
      </c>
      <c r="U6" t="str">
        <v>false</v>
      </c>
      <c r="V6" t="str">
        <v>No participation in the games</v>
      </c>
      <c r="W6">
        <v>1</v>
      </c>
      <c r="Y6">
        <f>SUM($N$6:$P$6)</f>
        <v>0</v>
      </c>
      <c r="AB6">
        <f t="shared" si="0"/>
        <v>0</v>
      </c>
    </row>
    <row r="7" spans="1:28" x14ac:dyDescent="0.3">
      <c r="A7" t="str">
        <v>Joep</v>
      </c>
      <c r="B7">
        <v>37</v>
      </c>
      <c r="C7" t="str">
        <v>B3</v>
      </c>
      <c r="D7">
        <v>11176</v>
      </c>
      <c r="E7" t="str">
        <v>O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18</v>
      </c>
      <c r="O7">
        <v>0</v>
      </c>
      <c r="P7">
        <v>30</v>
      </c>
      <c r="Q7">
        <v>40</v>
      </c>
      <c r="R7" t="str">
        <v>false</v>
      </c>
      <c r="S7" t="str">
        <v>NA</v>
      </c>
      <c r="T7" t="str">
        <v>false</v>
      </c>
      <c r="U7" t="str">
        <v>false</v>
      </c>
      <c r="V7" t="str">
        <v>Can not store much but is quick in cycles.</v>
      </c>
      <c r="W7">
        <v>5</v>
      </c>
      <c r="Y7">
        <f>SUM($N$7:$P$7)</f>
        <v>48</v>
      </c>
      <c r="AB7">
        <f t="shared" si="0"/>
        <v>48</v>
      </c>
    </row>
    <row r="8" spans="1:28" x14ac:dyDescent="0.3">
      <c r="A8" t="str">
        <v>JV</v>
      </c>
      <c r="B8">
        <v>62</v>
      </c>
      <c r="C8" t="str">
        <v>R3</v>
      </c>
      <c r="D8">
        <v>11176</v>
      </c>
      <c r="E8" t="str">
        <v>H</v>
      </c>
      <c r="F8" t="str">
        <v>false</v>
      </c>
      <c r="G8" t="str">
        <v>true</v>
      </c>
      <c r="H8" t="str">
        <v>false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4</v>
      </c>
      <c r="O8">
        <v>0</v>
      </c>
      <c r="P8">
        <v>0</v>
      </c>
      <c r="Q8">
        <v>77</v>
      </c>
      <c r="R8" t="str">
        <v>false</v>
      </c>
      <c r="S8" t="str">
        <v>NA</v>
      </c>
      <c r="T8" t="str">
        <v>true</v>
      </c>
      <c r="U8" t="str">
        <v>false</v>
      </c>
      <c r="V8" t="str">
        <v>Food robot players need better aim seemed abit indecisive during non scoring segments.</v>
      </c>
      <c r="W8">
        <v>3</v>
      </c>
      <c r="Y8">
        <f>SUM($N$8:$P$8)</f>
        <v>4</v>
      </c>
      <c r="AB8">
        <f t="shared" si="0"/>
        <v>4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9540B-51B5-44E1-BC44-E2D78F8BF296}">
  <dimension ref="A1:AB20"/>
  <sheetViews>
    <sheetView topLeftCell="G1" workbookViewId="0">
      <selection activeCell="AB3" sqref="AB3:AB26"/>
    </sheetView>
  </sheetViews>
  <sheetFormatPr defaultRowHeight="14.4" x14ac:dyDescent="0.3"/>
  <sheetData>
    <row r="1" spans="1:28" x14ac:dyDescent="0.3">
      <c r="A1">
        <v>11212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">_xlfn._xlws.FILTER(Tabel1[], Tabel1[Team Number]=A1, "Geen resultaten")</f>
        <v>Geen resultaten</v>
      </c>
      <c r="Y3">
        <f>SUM($N$3:$P$3)</f>
        <v>0</v>
      </c>
      <c r="AB3" t="str">
        <f>IF(B3,SUM(N3:P3),"")</f>
        <v/>
      </c>
    </row>
    <row r="4" spans="1:28" x14ac:dyDescent="0.3">
      <c r="Y4">
        <f>SUM($N$4:$P$4)</f>
        <v>0</v>
      </c>
      <c r="AB4" t="str">
        <f t="shared" ref="AB4:AB20" si="0">IF(B4,SUM(N4:P4),"")</f>
        <v/>
      </c>
    </row>
    <row r="5" spans="1:28" x14ac:dyDescent="0.3">
      <c r="Y5">
        <f>SUM($N$5:$P$5)</f>
        <v>0</v>
      </c>
      <c r="AB5" t="str">
        <f t="shared" si="0"/>
        <v/>
      </c>
    </row>
    <row r="6" spans="1:28" x14ac:dyDescent="0.3">
      <c r="Y6">
        <f>SUM($N$6:$P$6)</f>
        <v>0</v>
      </c>
      <c r="AB6" t="str">
        <f t="shared" si="0"/>
        <v/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2614-A97C-4FB9-9E74-D79853F7DFBC}">
  <dimension ref="A1:AB20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11479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TimoS</v>
      </c>
      <c r="B3">
        <v>7</v>
      </c>
      <c r="C3" t="str">
        <v>B1</v>
      </c>
      <c r="D3">
        <v>11479</v>
      </c>
      <c r="E3" t="str">
        <v>O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24</v>
      </c>
      <c r="P3">
        <v>25</v>
      </c>
      <c r="Q3">
        <v>70</v>
      </c>
      <c r="R3" t="str">
        <v>false</v>
      </c>
      <c r="S3" t="str">
        <v>NA</v>
      </c>
      <c r="T3" t="str">
        <v>false</v>
      </c>
      <c r="U3" t="str">
        <v>false</v>
      </c>
      <c r="V3" t="str">
        <v>Battery problems last 30 sec (Low volt.)</v>
      </c>
      <c r="W3">
        <v>3</v>
      </c>
      <c r="Y3">
        <f>SUM($N$3:$P$3)</f>
        <v>49</v>
      </c>
      <c r="AB3">
        <f>IF(B3,SUM(N3:P3),"")</f>
        <v>49</v>
      </c>
    </row>
    <row r="4" spans="1:28" x14ac:dyDescent="0.3">
      <c r="A4" t="str">
        <v>JV</v>
      </c>
      <c r="B4">
        <v>23</v>
      </c>
      <c r="C4" t="str">
        <v>R3</v>
      </c>
      <c r="D4">
        <v>11479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18</v>
      </c>
      <c r="O4">
        <v>0</v>
      </c>
      <c r="P4">
        <v>0</v>
      </c>
      <c r="Q4">
        <v>58</v>
      </c>
      <c r="R4" t="str">
        <v>false</v>
      </c>
      <c r="S4" t="str">
        <v>NA</v>
      </c>
      <c r="T4" t="str">
        <v>true</v>
      </c>
      <c r="U4" t="str">
        <v>false</v>
      </c>
      <c r="V4" t="str">
        <v>Overall a good robot showing capabilities to score high amoints of points fast but it died a but early on.</v>
      </c>
      <c r="W4">
        <v>4</v>
      </c>
      <c r="Y4">
        <f>SUM($N$4:$P$4)</f>
        <v>18</v>
      </c>
      <c r="AB4">
        <f t="shared" ref="AB4:AB20" si="0">IF(B4,SUM(N4:P4),"")</f>
        <v>18</v>
      </c>
    </row>
    <row r="5" spans="1:28" x14ac:dyDescent="0.3">
      <c r="A5" t="str">
        <v>AA</v>
      </c>
      <c r="B5">
        <v>29</v>
      </c>
      <c r="C5" t="str">
        <v>R2</v>
      </c>
      <c r="D5">
        <v>11479</v>
      </c>
      <c r="E5" t="str">
        <v>H</v>
      </c>
      <c r="F5" t="str">
        <v>false</v>
      </c>
      <c r="G5" t="str">
        <v>true</v>
      </c>
      <c r="H5" t="str">
        <v>true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30</v>
      </c>
      <c r="Q5">
        <v>95</v>
      </c>
      <c r="R5" t="str">
        <v>false</v>
      </c>
      <c r="S5" t="str">
        <v>NA</v>
      </c>
      <c r="T5" t="str">
        <v>false</v>
      </c>
      <c r="U5" t="str">
        <v>false</v>
      </c>
      <c r="V5" t="str">
        <v>Good supporter</v>
      </c>
      <c r="W5">
        <v>5</v>
      </c>
      <c r="Y5">
        <f>SUM($N$5:$P$5)</f>
        <v>30</v>
      </c>
      <c r="AB5">
        <f t="shared" si="0"/>
        <v>30</v>
      </c>
    </row>
    <row r="6" spans="1:28" x14ac:dyDescent="0.3">
      <c r="A6" t="str">
        <v>TimoS</v>
      </c>
      <c r="B6">
        <v>39</v>
      </c>
      <c r="C6" t="str">
        <v>B2</v>
      </c>
      <c r="D6">
        <v>11479</v>
      </c>
      <c r="E6" t="str">
        <v>O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50</v>
      </c>
      <c r="Q6">
        <v>80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3</v>
      </c>
      <c r="Y6">
        <f>SUM($N$6:$P$6)</f>
        <v>50</v>
      </c>
      <c r="AB6">
        <f t="shared" si="0"/>
        <v>50</v>
      </c>
    </row>
    <row r="7" spans="1:28" x14ac:dyDescent="0.3">
      <c r="A7" t="str">
        <v>Yannis</v>
      </c>
      <c r="B7">
        <v>66</v>
      </c>
      <c r="C7" t="str">
        <v>B1</v>
      </c>
      <c r="D7">
        <v>11479</v>
      </c>
      <c r="E7" t="str">
        <v>D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1</v>
      </c>
      <c r="O7">
        <v>18</v>
      </c>
      <c r="P7">
        <v>35</v>
      </c>
      <c r="Q7">
        <v>36</v>
      </c>
      <c r="R7" t="str">
        <v>false</v>
      </c>
      <c r="S7" t="str">
        <v>NA</v>
      </c>
      <c r="T7" t="str">
        <v>false</v>
      </c>
      <c r="U7" t="str">
        <v>false</v>
      </c>
      <c r="V7" t="str">
        <v>Front plate broke, didn't shoot accurate afterwards</v>
      </c>
      <c r="W7">
        <v>2</v>
      </c>
      <c r="Y7">
        <f>SUM($N$7:$P$7)</f>
        <v>54</v>
      </c>
      <c r="AB7">
        <f t="shared" si="0"/>
        <v>54</v>
      </c>
    </row>
    <row r="8" spans="1:28" x14ac:dyDescent="0.3">
      <c r="A8" t="str">
        <v>AA</v>
      </c>
      <c r="B8">
        <v>56</v>
      </c>
      <c r="C8" t="str">
        <v>R2</v>
      </c>
      <c r="D8">
        <v>11479</v>
      </c>
      <c r="E8" t="str">
        <v>H</v>
      </c>
      <c r="F8" t="str">
        <v>false</v>
      </c>
      <c r="G8" t="str">
        <v>true</v>
      </c>
      <c r="H8" t="str">
        <v>true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0</v>
      </c>
      <c r="O8">
        <v>3</v>
      </c>
      <c r="P8">
        <v>0</v>
      </c>
      <c r="Q8">
        <v>100</v>
      </c>
      <c r="R8" t="str">
        <v>false</v>
      </c>
      <c r="S8" t="str">
        <v>NA</v>
      </c>
      <c r="T8" t="str">
        <v>true</v>
      </c>
      <c r="U8" t="str">
        <v>false</v>
      </c>
      <c r="V8" t="str">
        <v>Great auto. Would»ve done great if not for losing connection. Good support for the time it had</v>
      </c>
      <c r="W8">
        <v>4</v>
      </c>
      <c r="Y8">
        <f>SUM($N$8:$P$8)</f>
        <v>3</v>
      </c>
      <c r="AB8">
        <f t="shared" si="0"/>
        <v>3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71</vt:i4>
      </vt:variant>
      <vt:variant>
        <vt:lpstr>Benoemde bereiken</vt:lpstr>
      </vt:variant>
      <vt:variant>
        <vt:i4>1</vt:i4>
      </vt:variant>
    </vt:vector>
  </HeadingPairs>
  <TitlesOfParts>
    <vt:vector size="72" baseType="lpstr">
      <vt:lpstr>Data_Input</vt:lpstr>
      <vt:lpstr>Scouting schema</vt:lpstr>
      <vt:lpstr>Matches</vt:lpstr>
      <vt:lpstr>Alliances</vt:lpstr>
      <vt:lpstr>Practice day input</vt:lpstr>
      <vt:lpstr>Pit_Input</vt:lpstr>
      <vt:lpstr>Pit checklist</vt:lpstr>
      <vt:lpstr>Per_Team</vt:lpstr>
      <vt:lpstr>Match_Planner</vt:lpstr>
      <vt:lpstr>Picklist </vt:lpstr>
      <vt:lpstr>Lijsten</vt:lpstr>
      <vt:lpstr>60</vt:lpstr>
      <vt:lpstr>244</vt:lpstr>
      <vt:lpstr>288</vt:lpstr>
      <vt:lpstr>698</vt:lpstr>
      <vt:lpstr>987</vt:lpstr>
      <vt:lpstr>991</vt:lpstr>
      <vt:lpstr>996</vt:lpstr>
      <vt:lpstr>1165</vt:lpstr>
      <vt:lpstr>1212</vt:lpstr>
      <vt:lpstr>1410</vt:lpstr>
      <vt:lpstr>1828</vt:lpstr>
      <vt:lpstr>2080</vt:lpstr>
      <vt:lpstr>2122</vt:lpstr>
      <vt:lpstr>2403</vt:lpstr>
      <vt:lpstr>2478</vt:lpstr>
      <vt:lpstr>2486</vt:lpstr>
      <vt:lpstr>2662</vt:lpstr>
      <vt:lpstr>2840</vt:lpstr>
      <vt:lpstr>3009</vt:lpstr>
      <vt:lpstr>3019</vt:lpstr>
      <vt:lpstr>3216</vt:lpstr>
      <vt:lpstr>3243</vt:lpstr>
      <vt:lpstr>3245</vt:lpstr>
      <vt:lpstr>3424</vt:lpstr>
      <vt:lpstr>3944</vt:lpstr>
      <vt:lpstr>4146</vt:lpstr>
      <vt:lpstr>4731</vt:lpstr>
      <vt:lpstr>5933</vt:lpstr>
      <vt:lpstr>6352</vt:lpstr>
      <vt:lpstr>6413</vt:lpstr>
      <vt:lpstr>6479</vt:lpstr>
      <vt:lpstr>6833</vt:lpstr>
      <vt:lpstr>6922</vt:lpstr>
      <vt:lpstr>7333</vt:lpstr>
      <vt:lpstr>7425</vt:lpstr>
      <vt:lpstr>7426</vt:lpstr>
      <vt:lpstr>7703</vt:lpstr>
      <vt:lpstr>7755</vt:lpstr>
      <vt:lpstr>8012</vt:lpstr>
      <vt:lpstr>8717</vt:lpstr>
      <vt:lpstr>9059</vt:lpstr>
      <vt:lpstr>9091</vt:lpstr>
      <vt:lpstr>9501</vt:lpstr>
      <vt:lpstr>9534</vt:lpstr>
      <vt:lpstr>9610</vt:lpstr>
      <vt:lpstr>9704</vt:lpstr>
      <vt:lpstr>9777</vt:lpstr>
      <vt:lpstr>10114</vt:lpstr>
      <vt:lpstr>10183</vt:lpstr>
      <vt:lpstr>10256</vt:lpstr>
      <vt:lpstr>10380</vt:lpstr>
      <vt:lpstr>10506</vt:lpstr>
      <vt:lpstr>10905</vt:lpstr>
      <vt:lpstr>10933</vt:lpstr>
      <vt:lpstr>10980</vt:lpstr>
      <vt:lpstr>10988</vt:lpstr>
      <vt:lpstr>11100</vt:lpstr>
      <vt:lpstr>11176</vt:lpstr>
      <vt:lpstr>11212</vt:lpstr>
      <vt:lpstr>11479</vt:lpstr>
      <vt:lpstr>Foto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Maud Van montfoort</dc:creator>
  <cp:lastModifiedBy>Kindt, Yonas</cp:lastModifiedBy>
  <cp:lastPrinted>2026-03-14T03:27:14Z</cp:lastPrinted>
  <dcterms:created xsi:type="dcterms:W3CDTF">2026-01-11T13:59:18Z</dcterms:created>
  <dcterms:modified xsi:type="dcterms:W3CDTF">2026-05-06T22:51:49Z</dcterms:modified>
</cp:coreProperties>
</file>